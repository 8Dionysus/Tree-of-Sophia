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9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0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1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12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13.xml" ContentType="application/vnd.openxmlformats-officedocument.spreadsheetml.worksheet+xml"/>
  <Override PartName="/xl/tables/table24.xml" ContentType="application/vnd.openxmlformats-officedocument.spreadsheetml.table+xml"/>
  <Override PartName="/xl/worksheets/sheet14.xml" ContentType="application/vnd.openxmlformats-officedocument.spreadsheetml.worksheet+xml"/>
  <Override PartName="/xl/tables/table25.xml" ContentType="application/vnd.openxmlformats-officedocument.spreadsheetml.table+xml"/>
  <Override PartName="/xl/worksheets/sheet15.xml" ContentType="application/vnd.openxmlformats-officedocument.spreadsheetml.worksheet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6.xml" ContentType="application/vnd.openxmlformats-officedocument.spreadsheetml.worksheet+xml"/>
  <Override PartName="/xl/tables/table28.xml" ContentType="application/vnd.openxmlformats-officedocument.spreadsheetml.table+xml"/>
  <Override PartName="/xl/worksheets/sheet17.xml" ContentType="application/vnd.openxmlformats-officedocument.spreadsheetml.worksheet+xml"/>
  <Override PartName="/xl/tables/table29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Обзор" sheetId="1" state="visible" r:id="rId1"/>
    <sheet xmlns:r="http://schemas.openxmlformats.org/officeDocument/2006/relationships" name="01_Ключи" sheetId="2" state="visible" r:id="rId2"/>
    <sheet xmlns:r="http://schemas.openxmlformats.org/officeDocument/2006/relationships" name="02_corpus_map" sheetId="3" state="visible" r:id="rId3"/>
    <sheet xmlns:r="http://schemas.openxmlformats.org/officeDocument/2006/relationships" name="03_witnesses" sheetId="4" state="visible" r:id="rId4"/>
    <sheet xmlns:r="http://schemas.openxmlformats.org/officeDocument/2006/relationships" name="04_segments" sheetId="5" state="visible" r:id="rId5"/>
    <sheet xmlns:r="http://schemas.openxmlformats.org/officeDocument/2006/relationships" name="05_nodes" sheetId="6" state="visible" r:id="rId6"/>
    <sheet xmlns:r="http://schemas.openxmlformats.org/officeDocument/2006/relationships" name="06_event_state_nodes" sheetId="7" state="visible" r:id="rId7"/>
    <sheet xmlns:r="http://schemas.openxmlformats.org/officeDocument/2006/relationships" name="07_edges" sheetId="8" state="visible" r:id="rId8"/>
    <sheet xmlns:r="http://schemas.openxmlformats.org/officeDocument/2006/relationships" name="08_translation_tensions" sheetId="9" state="visible" r:id="rId9"/>
    <sheet xmlns:r="http://schemas.openxmlformats.org/officeDocument/2006/relationships" name="09_witness_glosses" sheetId="10" state="visible" r:id="rId10"/>
    <sheet xmlns:r="http://schemas.openxmlformats.org/officeDocument/2006/relationships" name="10_principles" sheetId="11" state="visible" r:id="rId11"/>
    <sheet xmlns:r="http://schemas.openxmlformats.org/officeDocument/2006/relationships" name="11_Рост_и_спавн" sheetId="12" state="visible" r:id="rId12"/>
    <sheet xmlns:r="http://schemas.openxmlformats.org/officeDocument/2006/relationships" name="12_Sources" sheetId="13" state="visible" r:id="rId13"/>
    <sheet xmlns:r="http://schemas.openxmlformats.org/officeDocument/2006/relationships" name="13_Проектная_схема" sheetId="14" state="visible" r:id="rId14"/>
    <sheet xmlns:r="http://schemas.openxmlformats.org/officeDocument/2006/relationships" name="14_Порядок_прохода" sheetId="15" state="visible" r:id="rId15"/>
    <sheet xmlns:r="http://schemas.openxmlformats.org/officeDocument/2006/relationships" name="15_Master_связность_1_12" sheetId="16" state="visible" r:id="rId16"/>
    <sheet xmlns:r="http://schemas.openxmlformats.org/officeDocument/2006/relationships" name="16_Master_покрытие_1_12" sheetId="17" state="visible" r:id="rId17"/>
    <sheet xmlns:r="http://schemas.openxmlformats.org/officeDocument/2006/relationships" name="17_nodes_actual" sheetId="18" state="visible" r:id="rId18"/>
    <sheet xmlns:r="http://schemas.openxmlformats.org/officeDocument/2006/relationships" name="18_event_state_nodes_actual" sheetId="19" state="visible" r:id="rId19"/>
    <sheet xmlns:r="http://schemas.openxmlformats.org/officeDocument/2006/relationships" name="19_principles_actual" sheetId="20" state="visible" r:id="rId20"/>
    <sheet xmlns:r="http://schemas.openxmlformats.org/officeDocument/2006/relationships" name="20_predicates_registry" sheetId="21" state="visible" r:id="rId21"/>
    <sheet xmlns:r="http://schemas.openxmlformats.org/officeDocument/2006/relationships" name="21_class_registry" sheetId="22" state="visible" r:id="rId22"/>
    <sheet xmlns:r="http://schemas.openxmlformats.org/officeDocument/2006/relationships" name="22_Канон_контракт" sheetId="23" state="visible" r:id="rId23"/>
    <sheet xmlns:r="http://schemas.openxmlformats.org/officeDocument/2006/relationships" name="23_Audit_patch_list" sheetId="24" state="visible" r:id="rId24"/>
  </sheets>
  <definedNames>
    <definedName name="_xlnm._FilterDatabase" localSheetId="17" hidden="1">'17_nodes_actual'!$A$11:$AA$57</definedName>
    <definedName name="_xlnm._FilterDatabase" localSheetId="18" hidden="1">'18_event_state_nodes_actual'!$A$11:$AA$39</definedName>
    <definedName name="_xlnm._FilterDatabase" localSheetId="19" hidden="1">'19_principles_actual'!$A$11:$T$25</definedName>
    <definedName name="_xlnm._FilterDatabase" localSheetId="20" hidden="1">'20_predicates_registry'!$A$11:$I$64</definedName>
    <definedName name="_xlnm._FilterDatabase" localSheetId="21" hidden="1">'21_class_registry'!$A$11:$I$51</definedName>
    <definedName name="_xlnm._FilterDatabase" localSheetId="22" hidden="1">'22_Канон_контракт'!$A$11:$I$24</definedName>
    <definedName name="_xlnm._FilterDatabase" localSheetId="23" hidden="1">'23_Audit_patch_list'!$A$11:$I$48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</font>
    <font>
      <b val="1"/>
      <color rgb="00FFFFFF"/>
    </font>
    <font>
      <b val="1"/>
      <sz val="13"/>
    </font>
    <font>
      <name val="Calibri"/>
      <b val="1"/>
      <color rgb="00000000"/>
      <sz val="16"/>
    </font>
    <font>
      <name val="Calibri"/>
      <color rgb="00666666"/>
      <sz val="11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color rgb="00000000"/>
      <sz val="10"/>
    </font>
    <font>
      <b val="1"/>
      <sz val="14"/>
    </font>
    <font>
      <sz val="11"/>
    </font>
  </fonts>
  <fills count="11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1F4E78"/>
      </patternFill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EF3F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DE7F6"/>
      </patternFill>
    </fill>
  </fills>
  <borders count="4">
    <border>
      <left/>
      <right/>
      <top/>
      <bottom/>
      <diagonal/>
    </border>
    <border>
      <top style="thin">
        <color rgb="009FBAD0"/>
      </top>
      <bottom style="thin">
        <color rgb="009FBAD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9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3" fillId="2" borderId="2" pivotButton="0" quotePrefix="0" xfId="0"/>
    <xf numFmtId="0" fontId="4" fillId="3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ables/table1.xml><?xml version="1.0" encoding="utf-8"?>
<table xmlns="http://schemas.openxmlformats.org/spreadsheetml/2006/main" id="1" name="OverviewCatalog" displayName="OverviewCatalog" ref="A11:F25" headerRowCount="1">
  <autoFilter ref="A11:F25"/>
  <tableColumns count="6">
    <tableColumn id="1" name="Таблица"/>
    <tableColumn id="2" name="Слой"/>
    <tableColumn id="3" name="Когда начинать"/>
    <tableColumn id="4" name="Зачем нужна"/>
    <tableColumn id="5" name="Начинать сразу?"/>
    <tableColumn id="6" name="Когда спавнить дальше"/>
  </tableColumns>
  <tableStyleInfo name="TableStyleMedium2" showRowStripes="1"/>
</table>
</file>

<file path=xl/tables/table2.xml><?xml version="1.0" encoding="utf-8"?>
<table xmlns="http://schemas.openxmlformats.org/spreadsheetml/2006/main" id="2" name="GrowthRules" displayName="GrowthRules" ref="A28:B34" headerRowCount="1">
  <autoFilter ref="A28:B34"/>
  <tableColumns count="2">
    <tableColumn id="1" name="№"/>
    <tableColumn id="2" name="Правило"/>
  </tableColumns>
  <tableStyleInfo name="TableStyleMedium2" showRowStripes="1"/>
</table>
</file>

<file path=xl/tables/table3.xml><?xml version="1.0" encoding="utf-8"?>
<table xmlns="http://schemas.openxmlformats.org/spreadsheetml/2006/main" id="3" name="KeyDictionary" displayName="KeyDictionary" ref="A4:E12" headerRowCount="1">
  <autoFilter ref="A4:E12"/>
  <tableColumns count="5">
    <tableColumn id="1" name="Ключ"/>
    <tableColumn id="2" name="Где живёт"/>
    <tableColumn id="3" name="Что означает"/>
    <tableColumn id="4" name="Пример"/>
    <tableColumn id="5" name="Правило"/>
  </tableColumns>
  <tableStyleInfo name="TableStyleMedium2" showRowStripes="1"/>
</table>
</file>

<file path=xl/tables/table4.xml><?xml version="1.0" encoding="utf-8"?>
<table xmlns="http://schemas.openxmlformats.org/spreadsheetml/2006/main" id="4" name="corpus_map_Fields" displayName="corpus_map_Fields" ref="A14:F25" headerRowCount="1">
  <autoFilter ref="A14:F25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/>
</table>
</file>

<file path=xl/tables/table5.xml><?xml version="1.0" encoding="utf-8"?>
<table xmlns="http://schemas.openxmlformats.org/spreadsheetml/2006/main" id="5" name="corpus_map_Example" displayName="corpus_map_Example" ref="A28:K29" headerRowCount="1">
  <autoFilter ref="A28:K29"/>
  <tableColumns count="11">
    <tableColumn id="1" name="corpus_row_id"/>
    <tableColumn id="2" name="work_id"/>
    <tableColumn id="3" name="part_no"/>
    <tableColumn id="4" name="chapter_no"/>
    <tableColumn id="5" name="subchapter_no"/>
    <tableColumn id="6" name="paragraph_no"/>
    <tableColumn id="7" name="source_secondary"/>
    <tableColumn id="8" name="sort_key"/>
    <tableColumn id="9" name="title_ru"/>
    <tableColumn id="10" name="title_en"/>
    <tableColumn id="11" name="note"/>
  </tableColumns>
  <tableStyleInfo name="TableStyleMedium2" showRowStripes="1"/>
</table>
</file>

<file path=xl/tables/table6.xml><?xml version="1.0" encoding="utf-8"?>
<table xmlns="http://schemas.openxmlformats.org/spreadsheetml/2006/main" id="6" name="witnesses_Fields" displayName="witnesses_Fields" ref="A14:F24" headerRowCount="1">
  <autoFilter ref="A14:F24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/>
</table>
</file>

<file path=xl/tables/table7.xml><?xml version="1.0" encoding="utf-8"?>
<table xmlns="http://schemas.openxmlformats.org/spreadsheetml/2006/main" id="7" name="witnesses_Example" displayName="witnesses_Example" ref="A27:J28" headerRowCount="1">
  <autoFilter ref="A27:J28"/>
  <tableColumns count="10">
    <tableColumn id="1" name="witness_id"/>
    <tableColumn id="2" name="language"/>
    <tableColumn id="3" name="witness_role"/>
    <tableColumn id="4" name="authority_level"/>
    <tableColumn id="5" name="author_or_translator"/>
    <tableColumn id="6" name="edition_or_source"/>
    <tableColumn id="7" name="publication_year"/>
    <tableColumn id="8" name="based_on"/>
    <tableColumn id="9" name="normalization_note"/>
    <tableColumn id="10" name="active"/>
  </tableColumns>
  <tableStyleInfo name="TableStyleMedium2" showRowStripes="1"/>
</table>
</file>

<file path=xl/tables/table8.xml><?xml version="1.0" encoding="utf-8"?>
<table xmlns="http://schemas.openxmlformats.org/spreadsheetml/2006/main" id="8" name="segments_Fields" displayName="segments_Fields" ref="A14:F23" headerRowCount="1">
  <autoFilter ref="A14:F23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/>
</table>
</file>

<file path=xl/tables/table9.xml><?xml version="1.0" encoding="utf-8"?>
<table xmlns="http://schemas.openxmlformats.org/spreadsheetml/2006/main" id="9" name="segments_Example" displayName="segments_Example" ref="A26:I27" headerRowCount="1">
  <autoFilter ref="A26:I27"/>
  <tableColumns count="9">
    <tableColumn id="1" name="segment_id"/>
    <tableColumn id="2" name="source_secondary"/>
    <tableColumn id="3" name="paragraph_anchor"/>
    <tableColumn id="4" name="sort_key"/>
    <tableColumn id="5" name="witness_scope"/>
    <tableColumn id="6" name="line_span"/>
    <tableColumn id="7" name="cluster_id"/>
    <tableColumn id="8" name="working_name"/>
    <tableColumn id="9" name="note"/>
  </tableColumns>
  <tableStyleInfo name="TableStyleMedium2" showRowStripes="1"/>
</table>
</file>

<file path=xl/tables/table10.xml><?xml version="1.0" encoding="utf-8"?>
<table xmlns="http://schemas.openxmlformats.org/spreadsheetml/2006/main" id="10" name="nodes_Fields" displayName="nodes_Fields" ref="A14:F23" headerRowCount="1">
  <autoFilter ref="A14:F23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/>
</table>
</file>

<file path=xl/tables/table11.xml><?xml version="1.0" encoding="utf-8"?>
<table xmlns="http://schemas.openxmlformats.org/spreadsheetml/2006/main" id="11" name="nodes_Example" displayName="nodes_Example" ref="A27:J28" headerRowCount="1">
  <autoFilter ref="A27:J28"/>
  <tableColumns count="10">
    <tableColumn id="1" name="node_id"/>
    <tableColumn id="2" name="label_ru"/>
    <tableColumn id="3" name="node_class"/>
    <tableColumn id="4" name="layer"/>
    <tableColumn id="5" name="first_segment_id"/>
    <tableColumn id="6" name="first_source_secondary"/>
    <tableColumn id="7" name="canonical_label"/>
    <tableColumn id="8" name="label_en"/>
    <tableColumn id="9" name="status"/>
    <tableColumn id="10" name="note"/>
  </tableColumns>
  <tableStyleInfo name="TableStyleMedium2" showRowStripes="1"/>
</table>
</file>

<file path=xl/tables/table12.xml><?xml version="1.0" encoding="utf-8"?>
<table xmlns="http://schemas.openxmlformats.org/spreadsheetml/2006/main" id="12" name="event_state_nodes_Fields" displayName="event_state_nodes_Fields" ref="A14:F24" headerRowCount="1">
  <autoFilter ref="A14:F24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/>
</table>
</file>

<file path=xl/tables/table13.xml><?xml version="1.0" encoding="utf-8"?>
<table xmlns="http://schemas.openxmlformats.org/spreadsheetml/2006/main" id="13" name="event_state_nodes_Example" displayName="event_state_nodes_Example" ref="A28:K29" headerRowCount="1">
  <autoFilter ref="A28:K29"/>
  <tableColumns count="11">
    <tableColumn id="1" name="es_id"/>
    <tableColumn id="2" name="kind"/>
    <tableColumn id="3" name="label_ru"/>
    <tableColumn id="4" name="anchor_mode"/>
    <tableColumn id="5" name="anchor_start_secondary"/>
    <tableColumn id="6" name="anchor_end_secondary"/>
    <tableColumn id="7" name="anchor_segment_ids"/>
    <tableColumn id="8" name="subject_hint"/>
    <tableColumn id="9" name="es_class"/>
    <tableColumn id="10" name="repeatable"/>
    <tableColumn id="11" name="note"/>
  </tableColumns>
  <tableStyleInfo name="TableStyleMedium2" showRowStripes="1"/>
</table>
</file>

<file path=xl/tables/table14.xml><?xml version="1.0" encoding="utf-8"?>
<table xmlns="http://schemas.openxmlformats.org/spreadsheetml/2006/main" id="14" name="edges_Fields" displayName="edges_Fields" ref="A14:F28" headerRowCount="1">
  <autoFilter ref="A14:F28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/>
</table>
</file>

<file path=xl/tables/table15.xml><?xml version="1.0" encoding="utf-8"?>
<table xmlns="http://schemas.openxmlformats.org/spreadsheetml/2006/main" id="15" name="edges_Example" displayName="edges_Example" ref="A31:N32" headerRowCount="1">
  <autoFilter ref="A31:N32"/>
  <tableColumns count="14">
    <tableColumn id="1" name="edge_id"/>
    <tableColumn id="2" name="edge_kind"/>
    <tableColumn id="3" name="from_id"/>
    <tableColumn id="4" name="predicate_id"/>
    <tableColumn id="5" name="to_id"/>
    <tableColumn id="6" name="layer"/>
    <tableColumn id="7" name="anchor_mode"/>
    <tableColumn id="8" name="anchor_start_secondary"/>
    <tableColumn id="9" name="anchor_end_secondary"/>
    <tableColumn id="10" name="anchor_segment_ids"/>
    <tableColumn id="11" name="witness_scope"/>
    <tableColumn id="12" name="connectivity_role"/>
    <tableColumn id="13" name="confidence"/>
    <tableColumn id="14" name="note"/>
  </tableColumns>
  <tableStyleInfo name="TableStyleMedium2" showRowStripes="1"/>
</table>
</file>

<file path=xl/tables/table16.xml><?xml version="1.0" encoding="utf-8"?>
<table xmlns="http://schemas.openxmlformats.org/spreadsheetml/2006/main" id="16" name="translation_tensions_Fields" displayName="translation_tensions_Fields" ref="A14:F24" headerRowCount="1">
  <autoFilter ref="A14:F24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/>
</table>
</file>

<file path=xl/tables/table17.xml><?xml version="1.0" encoding="utf-8"?>
<table xmlns="http://schemas.openxmlformats.org/spreadsheetml/2006/main" id="17" name="translation_tensions_Example" displayName="translation_tensions_Example" ref="A27:K28" headerRowCount="1">
  <autoFilter ref="A27:K28"/>
  <tableColumns count="11">
    <tableColumn id="1" name="tension_id"/>
    <tableColumn id="2" name="normalized_core"/>
    <tableColumn id="3" name="anchor_mode"/>
    <tableColumn id="4" name="anchor_start_secondary"/>
    <tableColumn id="5" name="anchor_end_secondary"/>
    <tableColumn id="6" name="anchor_segment_ids"/>
    <tableColumn id="7" name="witness_ids"/>
    <tableColumn id="8" name="why_load_bearing"/>
    <tableColumn id="9" name="decision_status"/>
    <tableColumn id="10" name="preferred_handling"/>
    <tableColumn id="11" name="note"/>
  </tableColumns>
  <tableStyleInfo name="TableStyleMedium2" showRowStripes="1"/>
</table>
</file>

<file path=xl/tables/table18.xml><?xml version="1.0" encoding="utf-8"?>
<table xmlns="http://schemas.openxmlformats.org/spreadsheetml/2006/main" id="18" name="witness_glosses_Fields" displayName="witness_glosses_Fields" ref="A14:F23" headerRowCount="1">
  <autoFilter ref="A14:F23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/>
</table>
</file>

<file path=xl/tables/table19.xml><?xml version="1.0" encoding="utf-8"?>
<table xmlns="http://schemas.openxmlformats.org/spreadsheetml/2006/main" id="19" name="witness_glosses_Example" displayName="witness_glosses_Example" ref="A25:I26" headerRowCount="1">
  <autoFilter ref="A25:I26"/>
  <tableColumns count="9">
    <tableColumn id="1" name="gloss_id"/>
    <tableColumn id="2" name="witness_id"/>
    <tableColumn id="3" name="segment_id"/>
    <tableColumn id="4" name="source_secondary"/>
    <tableColumn id="5" name="token_or_phrase"/>
    <tableColumn id="6" name="normalized_core"/>
    <tableColumn id="7" name="tension_id"/>
    <tableColumn id="8" name="gloss_note"/>
    <tableColumn id="9" name="status"/>
  </tableColumns>
  <tableStyleInfo name="TableStyleMedium2" showRowStripes="1"/>
</table>
</file>

<file path=xl/tables/table20.xml><?xml version="1.0" encoding="utf-8"?>
<table xmlns="http://schemas.openxmlformats.org/spreadsheetml/2006/main" id="20" name="principles_Fields" displayName="principles_Fields" ref="A14:F23" headerRowCount="1">
  <autoFilter ref="A14:F23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/>
</table>
</file>

<file path=xl/tables/table21.xml><?xml version="1.0" encoding="utf-8"?>
<table xmlns="http://schemas.openxmlformats.org/spreadsheetml/2006/main" id="21" name="principles_Example" displayName="principles_Example" ref="A26:I27" headerRowCount="1">
  <autoFilter ref="A26:I27"/>
  <tableColumns count="9">
    <tableColumn id="1" name="principle_id"/>
    <tableColumn id="2" name="layer"/>
    <tableColumn id="3" name="formula_ru"/>
    <tableColumn id="4" name="anchor_mode"/>
    <tableColumn id="5" name="anchor_start_secondary"/>
    <tableColumn id="6" name="anchor_end_secondary"/>
    <tableColumn id="7" name="anchor_segment_ids"/>
    <tableColumn id="8" name="status"/>
    <tableColumn id="9" name="note"/>
  </tableColumns>
  <tableStyleInfo name="TableStyleMedium2" showRowStripes="1"/>
</table>
</file>

<file path=xl/tables/table22.xml><?xml version="1.0" encoding="utf-8"?>
<table xmlns="http://schemas.openxmlformats.org/spreadsheetml/2006/main" id="22" name="growth_rules_Fields" displayName="growth_rules_Fields" ref="A14:F19" headerRowCount="1">
  <autoFilter ref="A14:F19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/>
</table>
</file>

<file path=xl/tables/table23.xml><?xml version="1.0" encoding="utf-8"?>
<table xmlns="http://schemas.openxmlformats.org/spreadsheetml/2006/main" id="23" name="growth_rules_Example" displayName="growth_rules_Example" ref="A22:E26" headerRowCount="1">
  <autoFilter ref="A22:E26"/>
  <tableColumns count="5">
    <tableColumn id="1" name="rule_id"/>
    <tableColumn id="2" name="question"/>
    <tableColumn id="3" name="yes_action"/>
    <tableColumn id="4" name="no_action"/>
    <tableColumn id="5" name="danger"/>
  </tableColumns>
  <tableStyleInfo name="TableStyleMedium2" showRowStripes="1"/>
</table>
</file>

<file path=xl/tables/table24.xml><?xml version="1.0" encoding="utf-8"?>
<table xmlns="http://schemas.openxmlformats.org/spreadsheetml/2006/main" id="24" name="SourceList" displayName="SourceList" ref="A4:C7" headerRowCount="1">
  <autoFilter ref="A4:C7"/>
  <tableColumns count="3">
    <tableColumn id="1" name="Источник"/>
    <tableColumn id="2" name="URL"/>
    <tableColumn id="3" name="Зачем нужен"/>
  </tableColumns>
  <tableStyleInfo name="TableStyleMedium2" showRowStripes="1"/>
</table>
</file>

<file path=xl/tables/table25.xml><?xml version="1.0" encoding="utf-8"?>
<table xmlns="http://schemas.openxmlformats.org/spreadsheetml/2006/main" id="25" name="tbl_project_schema" displayName="tbl_project_schema" ref="A11:I25" headerRowCount="1">
  <autoFilter ref="A11:I25"/>
  <tableColumns count="9">
    <tableColumn id="1" name="Таблица"/>
    <tableColumn id="2" name="Волна"/>
    <tableColumn id="3" name="Обязательные поля"/>
    <tableColumn id="4" name="Опциональные поля"/>
    <tableColumn id="5" name="Заполнять когда"/>
    <tableColumn id="6" name="Правило заполнения"/>
    <tableColumn id="7" name="Не делать"/>
    <tableColumn id="8" name="Спавнить дальше когда"/>
    <tableColumn id="9" name="Минимальный пример"/>
  </tableColumns>
  <tableStyleInfo name="TableStyleMedium2"/>
</table>
</file>

<file path=xl/tables/table26.xml><?xml version="1.0" encoding="utf-8"?>
<table xmlns="http://schemas.openxmlformats.org/spreadsheetml/2006/main" id="26" name="tbl_flow_order" displayName="tbl_flow_order" ref="A9:G21" headerRowCount="1">
  <autoFilter ref="A9:G21"/>
  <tableColumns count="7">
    <tableColumn id="1" name="Шаг"/>
    <tableColumn id="2" name="Волна"/>
    <tableColumn id="3" name="Что делаем"/>
    <tableColumn id="4" name="Какие таблицы трогаем"/>
    <tableColumn id="5" name="Минимальный результат"/>
    <tableColumn id="6" name="Стоп-условие"/>
    <tableColumn id="7" name="Что рождаем потом"/>
  </tableColumns>
  <tableStyleInfo name="TableStyleMedium2"/>
</table>
</file>

<file path=xl/tables/table27.xml><?xml version="1.0" encoding="utf-8"?>
<table xmlns="http://schemas.openxmlformats.org/spreadsheetml/2006/main" id="27" name="tbl_generation_path" displayName="tbl_generation_path" ref="A24:D27" headerRowCount="1">
  <autoFilter ref="A24:D27"/>
  <tableColumns count="4">
    <tableColumn id="1" name="Стадия"/>
    <tableColumn id="2" name="Вход"/>
    <tableColumn id="3" name="Выход"/>
    <tableColumn id="4" name="Правило"/>
  </tableColumns>
  <tableStyleInfo name="TableStyleMedium2" showRowStripes="1"/>
</table>
</file>

<file path=xl/tables/table28.xml><?xml version="1.0" encoding="utf-8"?>
<table xmlns="http://schemas.openxmlformats.org/spreadsheetml/2006/main" id="28" name="MasterConnectivity" displayName="MasterConnectivity" ref="A11:U139" headerRowCount="1">
  <autoFilter ref="A11:U139"/>
  <tableColumns count="21">
    <tableColumn id="1" name="master_id"/>
    <tableColumn id="2" name="row_kind"/>
    <tableColumn id="3" name="from_id"/>
    <tableColumn id="4" name="from_label_ru"/>
    <tableColumn id="5" name="from_class"/>
    <tableColumn id="6" name="predicate_id"/>
    <tableColumn id="7" name="predicate_ru"/>
    <tableColumn id="8" name="to_id"/>
    <tableColumn id="9" name="to_label_ru"/>
    <tableColumn id="10" name="to_class"/>
    <tableColumn id="11" name="layer"/>
    <tableColumn id="12" name="source_secondary_start"/>
    <tableColumn id="13" name="source_secondary_end"/>
    <tableColumn id="14" name="p_start"/>
    <tableColumn id="15" name="p_end"/>
    <tableColumn id="16" name="n_range"/>
    <tableColumn id="17" name="paragraph_tags"/>
    <tableColumn id="18" name="segment_ids"/>
    <tableColumn id="19" name="witness_scope"/>
    <tableColumn id="20" name="connectivity_role"/>
    <tableColumn id="21" name="note_ru"/>
  </tableColumns>
  <tableStyleInfo name="TableStyleMedium2"/>
</table>
</file>

<file path=xl/tables/table29.xml><?xml version="1.0" encoding="utf-8"?>
<table xmlns="http://schemas.openxmlformats.org/spreadsheetml/2006/main" id="29" name="MasterCoverageParagraphs" displayName="MasterCoverageParagraphs" ref="A9:F21" headerRowCount="1">
  <autoFilter ref="A9:F21"/>
  <tableColumns count="6">
    <tableColumn id="1" name="Абзац"/>
    <tableColumn id="2" name="segment_id"/>
    <tableColumn id="3" name="Всего строк"/>
    <tableColumn id="4" name="source_edge"/>
    <tableColumn id="5" name="bridge_edge"/>
    <tableColumn id="6" name="principle_edge"/>
  </tableColumns>
  <tableStyleInfo name="TableStyleMedium2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table" Target="/xl/tables/table13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table" Target="/xl/tables/table15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table" Target="/xl/tables/table17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8.xml" Id="rId1"/><Relationship Type="http://schemas.openxmlformats.org/officeDocument/2006/relationships/table" Target="/xl/tables/table19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0.xml" Id="rId1"/><Relationship Type="http://schemas.openxmlformats.org/officeDocument/2006/relationships/table" Target="/xl/tables/table21.xml" Id="rId2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2.xml" Id="rId1"/><Relationship Type="http://schemas.openxmlformats.org/officeDocument/2006/relationships/table" Target="/xl/tables/table23.xml" Id="rId2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6.xml" Id="rId1"/><Relationship Type="http://schemas.openxmlformats.org/officeDocument/2006/relationships/table" Target="/xl/tables/table27.xml" Id="rId2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  <col width="18" customWidth="1" min="3" max="3"/>
    <col width="38" customWidth="1" min="4" max="4"/>
    <col width="15" customWidth="1" min="5" max="5"/>
    <col width="3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28" t="inlineStr">
        <is>
          <t>Стартовая схема проекта ToS/KAG v6.1</t>
        </is>
      </c>
    </row>
    <row r="2" ht="20" customHeight="1">
      <c r="A2" s="29" t="inlineStr">
        <is>
          <t>Фундаментальные таблицы, governance-слой, traceable generation path и generated serving views</t>
        </is>
      </c>
    </row>
    <row r="4">
      <c r="A4" s="30" t="inlineStr">
        <is>
          <t>Главный принцип</t>
        </is>
      </c>
      <c r="B4" s="31" t="inlineStr">
        <is>
          <t>Сначала маленькое устойчивое ядро таблиц, затем проекции и новые таблицы поверх него.</t>
        </is>
      </c>
    </row>
    <row r="5">
      <c r="A5" s="30" t="inlineStr">
        <is>
          <t>Текущий режим</t>
        </is>
      </c>
      <c r="B5" s="31" t="inlineStr">
        <is>
          <t>Горизонтальная волна: широкое покрытие корпуса. Вертикальная волна: углубление плотных мест.</t>
        </is>
      </c>
    </row>
    <row r="6">
      <c r="A6" s="30" t="inlineStr">
        <is>
          <t>Базовый пакет</t>
        </is>
      </c>
      <c r="B6" s="31" t="inlineStr">
        <is>
          <t>corpus_map, witnesses, segments, nodes, event_state_nodes, edges, translation_tensions</t>
        </is>
      </c>
    </row>
    <row r="7">
      <c r="A7" s="30" t="inlineStr">
        <is>
          <t>Вторая волна</t>
        </is>
      </c>
      <c r="B7" s="31" t="inlineStr">
        <is>
          <t>witness_glosses, principles, predicates_registry, class_registry</t>
        </is>
      </c>
    </row>
    <row r="8">
      <c r="A8" s="30" t="inlineStr">
        <is>
          <t>Serving-слой</t>
        </is>
      </c>
      <c r="B8" s="31" t="inlineStr">
        <is>
          <t>master_view, coverage_view и чистые actual-проекции генерируются из authoring tables</t>
        </is>
      </c>
    </row>
    <row r="9">
      <c r="A9" s="30" t="inlineStr">
        <is>
          <t>Стоп-правило</t>
        </is>
      </c>
      <c r="B9" s="31" t="inlineStr">
        <is>
          <t>Новая таблица нужна только если она делает отдельную работу: provenance, слой утверждения, новый тип вопроса, снижение дублирования или governance.</t>
        </is>
      </c>
    </row>
    <row r="11">
      <c r="A11" s="5" t="inlineStr">
        <is>
          <t>Таблица</t>
        </is>
      </c>
      <c r="B11" s="5" t="inlineStr">
        <is>
          <t>Слой</t>
        </is>
      </c>
      <c r="C11" s="5" t="inlineStr">
        <is>
          <t>Когда начинать</t>
        </is>
      </c>
      <c r="D11" s="5" t="inlineStr">
        <is>
          <t>Зачем нужна</t>
        </is>
      </c>
      <c r="E11" s="5" t="inlineStr">
        <is>
          <t>Начинать сразу?</t>
        </is>
      </c>
      <c r="F11" s="5" t="inlineStr">
        <is>
          <t>Когда спавнить дальше</t>
        </is>
      </c>
    </row>
    <row r="12">
      <c r="A12" s="32" t="inlineStr">
        <is>
          <t>corpus_map</t>
        </is>
      </c>
      <c r="B12" s="31" t="inlineStr">
        <is>
          <t>фундаментальный</t>
        </is>
      </c>
      <c r="C12" s="31" t="inlineStr">
        <is>
          <t>сразу</t>
        </is>
      </c>
      <c r="D12" s="31" t="inlineStr">
        <is>
          <t>карта корпуса и стабильная адресация</t>
        </is>
      </c>
      <c r="E12" s="31" t="inlineStr">
        <is>
          <t>да</t>
        </is>
      </c>
      <c r="F12" s="31" t="inlineStr">
        <is>
          <t>если нужен адрес книги/главы/части/абзаца</t>
        </is>
      </c>
    </row>
    <row r="13">
      <c r="A13" s="32" t="inlineStr">
        <is>
          <t>witnesses</t>
        </is>
      </c>
      <c r="B13" s="31" t="inlineStr">
        <is>
          <t>фундаментальный</t>
        </is>
      </c>
      <c r="C13" s="31" t="inlineStr">
        <is>
          <t>сразу</t>
        </is>
      </c>
      <c r="D13" s="31" t="inlineStr">
        <is>
          <t>кто говорит и в каком статусе</t>
        </is>
      </c>
      <c r="E13" s="31" t="inlineStr">
        <is>
          <t>да</t>
        </is>
      </c>
      <c r="F13" s="31" t="inlineStr">
        <is>
          <t>если есть 2+ witness-слоя или нужен provenance</t>
        </is>
      </c>
    </row>
    <row r="14">
      <c r="A14" s="32" t="inlineStr">
        <is>
          <t>segments</t>
        </is>
      </c>
      <c r="B14" s="31" t="inlineStr">
        <is>
          <t>фундаментальный</t>
        </is>
      </c>
      <c r="C14" s="31" t="inlineStr">
        <is>
          <t>сразу</t>
        </is>
      </c>
      <c r="D14" s="31" t="inlineStr">
        <is>
          <t>общие локаторы и spine</t>
        </is>
      </c>
      <c r="E14" s="31" t="inlineStr">
        <is>
          <t>да</t>
        </is>
      </c>
      <c r="F14" s="31" t="inlineStr">
        <is>
          <t>если текст режется на обозримые единицы [n]</t>
        </is>
      </c>
    </row>
    <row r="15">
      <c r="A15" s="32" t="inlineStr">
        <is>
          <t>nodes</t>
        </is>
      </c>
      <c r="B15" s="31" t="inlineStr">
        <is>
          <t>фундаментальный</t>
        </is>
      </c>
      <c r="C15" s="31" t="inlineStr">
        <is>
          <t>сразу</t>
        </is>
      </c>
      <c r="D15" s="31" t="inlineStr">
        <is>
          <t>устойчивые сущности, символы, понятия</t>
        </is>
      </c>
      <c r="E15" s="31" t="inlineStr">
        <is>
          <t>да</t>
        </is>
      </c>
      <c r="F15" s="31" t="inlineStr">
        <is>
          <t>если смысл должен переиспользоваться</t>
        </is>
      </c>
    </row>
    <row r="16">
      <c r="A16" s="32" t="inlineStr">
        <is>
          <t>event_state_nodes</t>
        </is>
      </c>
      <c r="B16" s="31" t="inlineStr">
        <is>
          <t>фундаментальный</t>
        </is>
      </c>
      <c r="C16" s="31" t="inlineStr">
        <is>
          <t>сразу</t>
        </is>
      </c>
      <c r="D16" s="31" t="inlineStr">
        <is>
          <t>события и состояния, где тройка тесна</t>
        </is>
      </c>
      <c r="E16" s="31" t="inlineStr">
        <is>
          <t>да</t>
        </is>
      </c>
      <c r="F16" s="31" t="inlineStr">
        <is>
          <t>если есть длительность / множественные участники / условность</t>
        </is>
      </c>
    </row>
    <row r="17">
      <c r="A17" s="32" t="inlineStr">
        <is>
          <t>edges</t>
        </is>
      </c>
      <c r="B17" s="31" t="inlineStr">
        <is>
          <t>фундаментальный</t>
        </is>
      </c>
      <c r="C17" s="31" t="inlineStr">
        <is>
          <t>сразу</t>
        </is>
      </c>
      <c r="D17" s="31" t="inlineStr">
        <is>
          <t>нормализованные связи</t>
        </is>
      </c>
      <c r="E17" s="31" t="inlineStr">
        <is>
          <t>да</t>
        </is>
      </c>
      <c r="F17" s="31" t="inlineStr">
        <is>
          <t>если есть хотя бы 1 нормализованный узел</t>
        </is>
      </c>
    </row>
    <row r="18">
      <c r="A18" s="32" t="inlineStr">
        <is>
          <t>translation_tensions</t>
        </is>
      </c>
      <c r="B18" s="31" t="inlineStr">
        <is>
          <t>фундаментальный+</t>
        </is>
      </c>
      <c r="C18" s="31" t="inlineStr">
        <is>
          <t>сразу, но скупо</t>
        </is>
      </c>
      <c r="D18" s="31" t="inlineStr">
        <is>
          <t>нагрузочные дрейфы между witness-слоями</t>
        </is>
      </c>
      <c r="E18" s="31" t="inlineStr">
        <is>
          <t>да</t>
        </is>
      </c>
      <c r="F18" s="31" t="inlineStr">
        <is>
          <t>только если дрейф философски значим</t>
        </is>
      </c>
    </row>
    <row r="19">
      <c r="A19" s="32" t="inlineStr">
        <is>
          <t>witness_glosses</t>
        </is>
      </c>
      <c r="B19" s="31" t="inlineStr">
        <is>
          <t>вторая волна</t>
        </is>
      </c>
      <c r="C19" s="31" t="inlineStr">
        <is>
          <t>по мере сгущения</t>
        </is>
      </c>
      <c r="D19" s="31" t="inlineStr">
        <is>
          <t>лексическая поверхность witness-а</t>
        </is>
      </c>
      <c r="E19" s="31" t="inlineStr">
        <is>
          <t>нет</t>
        </is>
      </c>
      <c r="F19" s="31" t="inlineStr">
        <is>
          <t>если важно не растворить genoss / вкушал / delighted in</t>
        </is>
      </c>
    </row>
    <row r="20">
      <c r="A20" s="32" t="inlineStr">
        <is>
          <t>principles</t>
        </is>
      </c>
      <c r="B20" s="31" t="inlineStr">
        <is>
          <t>вторая волна</t>
        </is>
      </c>
      <c r="C20" s="31" t="inlineStr">
        <is>
          <t>по мере сгущения</t>
        </is>
      </c>
      <c r="D20" s="31" t="inlineStr">
        <is>
          <t>снятые принципы и authored commentary</t>
        </is>
      </c>
      <c r="E20" s="31" t="inlineStr">
        <is>
          <t>нет</t>
        </is>
      </c>
      <c r="F20" s="31" t="inlineStr">
        <is>
          <t>если узел уже читается как principle, а не только факт</t>
        </is>
      </c>
    </row>
    <row r="21">
      <c r="A21" s="32" t="inlineStr">
        <is>
          <t>analogy_nodes</t>
        </is>
      </c>
      <c r="B21" s="31" t="inlineStr">
        <is>
          <t>третья волна</t>
        </is>
      </c>
      <c r="C21" s="31" t="inlineStr">
        <is>
          <t>когда накопятся повторяющиеся аналогии</t>
        </is>
      </c>
      <c r="D21" s="31" t="inlineStr">
        <is>
          <t>отдельные образные мосты</t>
        </is>
      </c>
      <c r="E21" s="31" t="inlineStr">
        <is>
          <t>нет</t>
        </is>
      </c>
      <c r="F21" s="31" t="inlineStr">
        <is>
          <t>если аналогии становятся запросопригодными</t>
        </is>
      </c>
    </row>
    <row r="22">
      <c r="A22" s="32" t="inlineStr">
        <is>
          <t>reasoning_paths</t>
        </is>
      </c>
      <c r="B22" s="31" t="inlineStr">
        <is>
          <t>третья волна</t>
        </is>
      </c>
      <c r="C22" s="31" t="inlineStr">
        <is>
          <t>когда появляются вопросы почему/как</t>
        </is>
      </c>
      <c r="D22" s="31" t="inlineStr">
        <is>
          <t>маршруты рассуждения</t>
        </is>
      </c>
      <c r="E22" s="31" t="inlineStr">
        <is>
          <t>нет</t>
        </is>
      </c>
      <c r="F22" s="31" t="inlineStr">
        <is>
          <t>если нужен объяснимый путь от вопроса к ответу</t>
        </is>
      </c>
    </row>
    <row r="23">
      <c r="A23" s="32" t="inlineStr">
        <is>
          <t>lineage_links</t>
        </is>
      </c>
      <c r="B23" s="31" t="inlineStr">
        <is>
          <t>третья волна</t>
        </is>
      </c>
      <c r="C23" s="31" t="inlineStr">
        <is>
          <t>когда начинают множиться связи с другими работами</t>
        </is>
      </c>
      <c r="D23" s="31" t="inlineStr">
        <is>
          <t>связи с другими текстами и традициями</t>
        </is>
      </c>
      <c r="E23" s="31" t="inlineStr">
        <is>
          <t>нет</t>
        </is>
      </c>
      <c r="F23" s="31" t="inlineStr">
        <is>
          <t>если cross-work связи повторяются</t>
        </is>
      </c>
    </row>
    <row r="24">
      <c r="A24" s="32" t="inlineStr">
        <is>
          <t>agent_witnesses</t>
        </is>
      </c>
      <c r="B24" s="31" t="inlineStr">
        <is>
          <t>третья волна</t>
        </is>
      </c>
      <c r="C24" s="31" t="inlineStr">
        <is>
          <t>когда подключаются агенты</t>
        </is>
      </c>
      <c r="D24" s="31" t="inlineStr">
        <is>
          <t>явно типизированные agent-generated witness-слои</t>
        </is>
      </c>
      <c r="E24" s="31" t="inlineStr">
        <is>
          <t>нет</t>
        </is>
      </c>
      <c r="F24" s="31" t="inlineStr">
        <is>
          <t>если агент пишет перевод/bridge/extraction</t>
        </is>
      </c>
    </row>
    <row r="25">
      <c r="A25" s="32" t="inlineStr">
        <is>
          <t>predicates_registry / class_registry</t>
        </is>
      </c>
      <c r="B25" s="31" t="inlineStr">
        <is>
          <t>вторая волна+</t>
        </is>
      </c>
      <c r="C25" s="31" t="inlineStr">
        <is>
          <t>после стабилизации первого pilot-а</t>
        </is>
      </c>
      <c r="D25" s="31" t="inlineStr">
        <is>
          <t>governance-слой для предикатов и классов</t>
        </is>
      </c>
      <c r="E25" s="31" t="inlineStr">
        <is>
          <t>нет</t>
        </is>
      </c>
      <c r="F25" s="31" t="inlineStr">
        <is>
          <t>если начинается enum drift и почти-дубли</t>
        </is>
      </c>
    </row>
    <row r="27">
      <c r="A27" s="33" t="inlineStr">
        <is>
          <t>Правила роста</t>
        </is>
      </c>
    </row>
    <row r="28">
      <c r="A28" s="5" t="inlineStr">
        <is>
          <t>№</t>
        </is>
      </c>
      <c r="B28" s="5" t="inlineStr">
        <is>
          <t>Правило</t>
        </is>
      </c>
    </row>
    <row r="29">
      <c r="A29" s="32" t="inlineStr">
        <is>
          <t>1</t>
        </is>
      </c>
      <c r="B29" s="31" t="inlineStr">
        <is>
          <t>Один смысл -&gt; один node_id. Не плодить языковые копии одного и того же узла.</t>
        </is>
      </c>
    </row>
    <row r="30">
      <c r="A30" s="32" t="inlineStr">
        <is>
          <t>2</t>
        </is>
      </c>
      <c r="B30" s="31" t="inlineStr">
        <is>
          <t>witness ≠ layer. Witness отвечает за происхождение текста, layer отвечает за режим утверждения.</t>
        </is>
      </c>
    </row>
    <row r="31">
      <c r="A31" s="32" t="inlineStr">
        <is>
          <t>3</t>
        </is>
      </c>
      <c r="B31" s="31" t="inlineStr">
        <is>
          <t>Комментарии и принципы не маскируются под source fact.</t>
        </is>
      </c>
    </row>
    <row r="32">
      <c r="A32" s="32" t="inlineStr">
        <is>
          <t>4</t>
        </is>
      </c>
      <c r="B32" s="31" t="inlineStr">
        <is>
          <t>Event/state node создается, когда плоская тройка теряет важную структуру.</t>
        </is>
      </c>
    </row>
    <row r="33">
      <c r="A33" s="32" t="inlineStr">
        <is>
          <t>5</t>
        </is>
      </c>
      <c r="B33" s="31" t="inlineStr">
        <is>
          <t>Translation tensions фиксируются только там, где дрейф реально меняет философский вес.</t>
        </is>
      </c>
    </row>
    <row r="34">
      <c r="A34" s="32" t="inlineStr">
        <is>
          <t>6</t>
        </is>
      </c>
      <c r="B34" s="31" t="inlineStr">
        <is>
          <t>Новая таблица оправдана, если открывает новый тип запроса или снимает путаницу.</t>
        </is>
      </c>
    </row>
    <row r="36">
      <c r="A36" s="34" t="inlineStr">
        <is>
          <t>Новые листы</t>
        </is>
      </c>
      <c r="B36" s="31" t="inlineStr">
        <is>
          <t>13_Проектная_схема, 14_Порядок_прохода, 20-23 листы контроля и traceable generation path расширяют стартовый пакет до устойчивого проектного каркаса.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30" customWidth="1" min="4" max="4"/>
    <col width="4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28" t="inlineStr">
        <is>
          <t>Общий словарь ключей и anchor-контракта v6.1</t>
        </is>
      </c>
    </row>
    <row r="2" ht="20" customHeight="1">
      <c r="A2" s="29" t="inlineStr">
        <is>
          <t>Эти поля склеивают authoring tables, registries и serving views</t>
        </is>
      </c>
    </row>
    <row r="4">
      <c r="A4" s="5" t="inlineStr">
        <is>
          <t>Ключ</t>
        </is>
      </c>
      <c r="B4" s="5" t="inlineStr">
        <is>
          <t>Где живёт</t>
        </is>
      </c>
      <c r="C4" s="5" t="inlineStr">
        <is>
          <t>Что означает</t>
        </is>
      </c>
      <c r="D4" s="5" t="inlineStr">
        <is>
          <t>Пример</t>
        </is>
      </c>
      <c r="E4" s="5" t="inlineStr">
        <is>
          <t>Правило</t>
        </is>
      </c>
    </row>
    <row r="5">
      <c r="A5" s="32" t="inlineStr">
        <is>
          <t>source_secondary</t>
        </is>
      </c>
      <c r="B5" s="31" t="inlineStr">
        <is>
          <t>corpus_map / segments / anchors</t>
        </is>
      </c>
      <c r="C5" s="31" t="inlineStr">
        <is>
          <t>человеческий вторичный адрес внутри произведения</t>
        </is>
      </c>
      <c r="D5" s="31" t="inlineStr">
        <is>
          <t>1,1,1,8</t>
        </is>
      </c>
      <c r="E5" s="31" t="inlineStr">
        <is>
          <t>стабилен; не переиспользуется для другого места</t>
        </is>
      </c>
    </row>
    <row r="6">
      <c r="A6" s="32" t="inlineStr">
        <is>
          <t>sort_key</t>
        </is>
      </c>
      <c r="B6" s="31" t="inlineStr">
        <is>
          <t>corpus_map / segments</t>
        </is>
      </c>
      <c r="C6" s="31" t="inlineStr">
        <is>
          <t>строгий порядок обхода</t>
        </is>
      </c>
      <c r="D6" s="31" t="inlineStr">
        <is>
          <t>8</t>
        </is>
      </c>
      <c r="E6" s="31" t="inlineStr">
        <is>
          <t>единственный canonical порядок</t>
        </is>
      </c>
    </row>
    <row r="7">
      <c r="A7" s="32" t="inlineStr">
        <is>
          <t>paragraph_anchor</t>
        </is>
      </c>
      <c r="B7" s="31" t="inlineStr">
        <is>
          <t>segments / coverage_view</t>
        </is>
      </c>
      <c r="C7" s="31" t="inlineStr">
        <is>
          <t>локальный номер абзаца внутри bounded route</t>
        </is>
      </c>
      <c r="D7" s="31" t="inlineStr">
        <is>
          <t>[8]</t>
        </is>
      </c>
      <c r="E7" s="31" t="inlineStr">
        <is>
          <t>общий для de / ru / en</t>
        </is>
      </c>
    </row>
    <row r="8">
      <c r="A8" s="32" t="inlineStr">
        <is>
          <t>segment_id</t>
        </is>
      </c>
      <c r="B8" s="31" t="inlineStr">
        <is>
          <t>segments и дальше почти везде</t>
        </is>
      </c>
      <c r="C8" s="31" t="inlineStr">
        <is>
          <t>машинно-стабильный идентификатор сегмента</t>
        </is>
      </c>
      <c r="D8" s="31" t="inlineStr">
        <is>
          <t>seg.1.1.1.8</t>
        </is>
      </c>
      <c r="E8" s="31" t="inlineStr">
        <is>
          <t>один на общий paragraph-aligned segment</t>
        </is>
      </c>
    </row>
    <row r="9">
      <c r="A9" s="32" t="inlineStr">
        <is>
          <t>witness_id</t>
        </is>
      </c>
      <c r="B9" s="31" t="inlineStr">
        <is>
          <t>witnesses / glosses / tensions</t>
        </is>
      </c>
      <c r="C9" s="31" t="inlineStr">
        <is>
          <t>какой текстовый свидетель говорит</t>
        </is>
      </c>
      <c r="D9" s="31" t="inlineStr">
        <is>
          <t>w.ru.dionysus.translation.v1</t>
        </is>
      </c>
      <c r="E9" s="31" t="inlineStr">
        <is>
          <t>всегда явный provenance</t>
        </is>
      </c>
    </row>
    <row r="10">
      <c r="A10" s="32" t="inlineStr">
        <is>
          <t>node_id</t>
        </is>
      </c>
      <c r="B10" s="31" t="inlineStr">
        <is>
          <t>nodes / edges / principles</t>
        </is>
      </c>
      <c r="C10" s="31" t="inlineStr">
        <is>
          <t>устойчивый смысловой узел</t>
        </is>
      </c>
      <c r="D10" s="31" t="inlineStr">
        <is>
          <t>n.underworld</t>
        </is>
      </c>
      <c r="E10" s="31" t="inlineStr">
        <is>
          <t>не зависит от языка поверхности</t>
        </is>
      </c>
    </row>
    <row r="11">
      <c r="A11" s="32" t="inlineStr">
        <is>
          <t>es_id</t>
        </is>
      </c>
      <c r="B11" s="31" t="inlineStr">
        <is>
          <t>event_state_nodes / edges</t>
        </is>
      </c>
      <c r="C11" s="31" t="inlineStr">
        <is>
          <t>узел события или состояния</t>
        </is>
      </c>
      <c r="D11" s="31" t="inlineStr">
        <is>
          <t>ev.p7_8.descent_named_as_go_under</t>
        </is>
      </c>
      <c r="E11" s="31" t="inlineStr">
        <is>
          <t>создается, когда тройка тесна</t>
        </is>
      </c>
    </row>
    <row r="12">
      <c r="A12" s="32" t="inlineStr">
        <is>
          <t>principle_id</t>
        </is>
      </c>
      <c r="B12" s="31" t="inlineStr">
        <is>
          <t>principles / edges</t>
        </is>
      </c>
      <c r="C12" s="31" t="inlineStr">
        <is>
          <t>узел принципа или claim-а</t>
        </is>
      </c>
      <c r="D12" s="31" t="inlineStr">
        <is>
          <t>pr.descent_is_required_by_gift</t>
        </is>
      </c>
      <c r="E12" s="31" t="inlineStr">
        <is>
          <t>не маскируется под source fact</t>
        </is>
      </c>
    </row>
    <row r="13">
      <c r="A13" s="32" t="inlineStr">
        <is>
          <t>edge_id</t>
        </is>
      </c>
      <c r="B13" s="31" t="inlineStr">
        <is>
          <t>edges</t>
        </is>
      </c>
      <c r="C13" s="31" t="inlineStr">
        <is>
          <t>одна нормализованная связь</t>
        </is>
      </c>
      <c r="D13" s="31" t="inlineStr">
        <is>
          <t>e63</t>
        </is>
      </c>
      <c r="E13" s="31" t="inlineStr">
        <is>
          <t>минимальная единица графовой связи</t>
        </is>
      </c>
    </row>
    <row r="14">
      <c r="A14" s="32" t="inlineStr">
        <is>
          <t>edge_kind</t>
        </is>
      </c>
      <c r="B14" s="31" t="inlineStr">
        <is>
          <t>edges / master_view</t>
        </is>
      </c>
      <c r="C14" s="31" t="inlineStr">
        <is>
          <t>тип relation row</t>
        </is>
      </c>
      <c r="D14" s="31" t="inlineStr">
        <is>
          <t>source_edge</t>
        </is>
      </c>
      <c r="E14" s="31" t="inlineStr">
        <is>
          <t>source_edge / bridge_edge / principle_edge</t>
        </is>
      </c>
    </row>
    <row r="15">
      <c r="A15" s="32" t="inlineStr">
        <is>
          <t>anchor_mode</t>
        </is>
      </c>
      <c r="B15" s="31" t="inlineStr">
        <is>
          <t>event_state_nodes / principles / edges</t>
        </is>
      </c>
      <c r="C15" s="31" t="inlineStr">
        <is>
          <t>single или multi anchor</t>
        </is>
      </c>
      <c r="D15" s="31" t="inlineStr">
        <is>
          <t>multi</t>
        </is>
      </c>
      <c r="E15" s="31" t="inlineStr">
        <is>
          <t>один договор range-привязки</t>
        </is>
      </c>
    </row>
    <row r="16">
      <c r="A16" s="32" t="inlineStr">
        <is>
          <t>anchor_start_secondary</t>
        </is>
      </c>
      <c r="B16" s="31" t="inlineStr">
        <is>
          <t>event_state_nodes / principles / edges</t>
        </is>
      </c>
      <c r="C16" s="31" t="inlineStr">
        <is>
          <t>начало anchor-диапазона</t>
        </is>
      </c>
      <c r="D16" s="31" t="inlineStr">
        <is>
          <t>1,1,1,7</t>
        </is>
      </c>
      <c r="E16" s="31" t="inlineStr">
        <is>
          <t>для single-anchor хранить только start; конец оставлять пустым</t>
        </is>
      </c>
    </row>
    <row r="17">
      <c r="A17" s="32" t="inlineStr">
        <is>
          <t>anchor_end_secondary</t>
        </is>
      </c>
      <c r="B17" s="31" t="inlineStr">
        <is>
          <t>event_state_nodes / principles / edges</t>
        </is>
      </c>
      <c r="C17" s="31" t="inlineStr">
        <is>
          <t>конец anchor-диапазона</t>
        </is>
      </c>
      <c r="D17" s="31" t="inlineStr">
        <is>
          <t>1,1,1,8</t>
        </is>
      </c>
      <c r="E17" s="31" t="inlineStr">
        <is>
          <t>для multi-anchor; при single-anchor оставлять пустым</t>
        </is>
      </c>
    </row>
    <row r="18">
      <c r="A18" s="32" t="inlineStr">
        <is>
          <t>anchor_segment_ids</t>
        </is>
      </c>
      <c r="B18" s="31" t="inlineStr">
        <is>
          <t>event_state_nodes / principles / edges</t>
        </is>
      </c>
      <c r="C18" s="31" t="inlineStr">
        <is>
          <t>segment spine диапазона</t>
        </is>
      </c>
      <c r="D18" s="31" t="inlineStr">
        <is>
          <t>seg.1.1.1.7|seg.1.1.1.8</t>
        </is>
      </c>
      <c r="E18" s="31" t="inlineStr">
        <is>
          <t>pipe-list shared segment ids</t>
        </is>
      </c>
    </row>
    <row r="19">
      <c r="A19" s="32" t="inlineStr">
        <is>
          <t>connectivity_role</t>
        </is>
      </c>
      <c r="B19" s="31" t="inlineStr">
        <is>
          <t>edges / master_view</t>
        </is>
      </c>
      <c r="C19" s="31" t="inlineStr">
        <is>
          <t>роль связи в reasoning-ткани</t>
        </is>
      </c>
      <c r="D19" s="31" t="inlineStr">
        <is>
          <t>reasoning_bridge</t>
        </is>
      </c>
      <c r="E19" s="31" t="inlineStr">
        <is>
          <t>local_chain / reasoning_bridge / principle_support / symbolic_support / multi_anchor</t>
        </is>
      </c>
    </row>
    <row r="20">
      <c r="A20" s="32" t="inlineStr">
        <is>
          <t>layer</t>
        </is>
      </c>
      <c r="B20" s="31" t="inlineStr">
        <is>
          <t>nodes / event_state_nodes / principles / edges</t>
        </is>
      </c>
      <c r="C20" s="31" t="inlineStr">
        <is>
          <t>режим утверждения</t>
        </is>
      </c>
      <c r="D20" s="31" t="inlineStr">
        <is>
          <t>source_linked / distilled_principle / authored_commentary</t>
        </is>
      </c>
      <c r="E20" s="31" t="inlineStr">
        <is>
          <t>не смешивать с witness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4" customWidth="1" min="5" max="5"/>
    <col width="14" customWidth="1" min="6" max="6"/>
    <col width="18" customWidth="1" min="7" max="7"/>
    <col width="12" customWidth="1" min="8" max="8"/>
    <col width="22" customWidth="1" min="9" max="9"/>
    <col width="22" customWidth="1" min="10" max="10"/>
    <col width="26" customWidth="1" min="11" max="11"/>
  </cols>
  <sheetData>
    <row r="1" ht="24" customHeight="1">
      <c r="A1" s="28" t="inlineStr">
        <is>
          <t>Схема: corpus_map</t>
        </is>
      </c>
    </row>
    <row r="2" ht="20" customHeight="1">
      <c r="A2" s="29" t="inlineStr">
        <is>
          <t>Адресное дерево корпуса. На этом слое ты можешь пройти хоть всю книгу.</t>
        </is>
      </c>
    </row>
    <row r="4">
      <c r="A4" s="30" t="inlineStr">
        <is>
          <t>Таблица</t>
        </is>
      </c>
      <c r="B4" s="31" t="inlineStr">
        <is>
          <t>corpus_map</t>
        </is>
      </c>
    </row>
    <row r="5">
      <c r="A5" s="30" t="inlineStr">
        <is>
          <t>Волна</t>
        </is>
      </c>
      <c r="B5" s="31" t="inlineStr">
        <is>
          <t>фундаментальный</t>
        </is>
      </c>
    </row>
    <row r="6">
      <c r="A6" s="30" t="inlineStr">
        <is>
          <t>Назначение</t>
        </is>
      </c>
      <c r="B6" s="31" t="inlineStr">
        <is>
          <t>дать каждому текстовому месту стабильный адрес и порядок обхода</t>
        </is>
      </c>
    </row>
    <row r="7">
      <c r="A7" s="30" t="inlineStr">
        <is>
          <t>Обязательность</t>
        </is>
      </c>
      <c r="B7" s="31" t="inlineStr">
        <is>
          <t>заводить сразу</t>
        </is>
      </c>
    </row>
    <row r="8">
      <c r="A8" s="30" t="inlineStr">
        <is>
          <t>Первичный ключ</t>
        </is>
      </c>
      <c r="B8" s="31" t="inlineStr">
        <is>
          <t>corpus_row_id</t>
        </is>
      </c>
    </row>
    <row r="9">
      <c r="A9" s="30" t="inlineStr">
        <is>
          <t>Зависит от</t>
        </is>
      </c>
      <c r="B9" s="31" t="inlineStr">
        <is>
          <t>ни от чего, это корневая карта</t>
        </is>
      </c>
    </row>
    <row r="10">
      <c r="A10" s="30" t="inlineStr">
        <is>
          <t>Когда спавнить</t>
        </is>
      </c>
      <c r="B10" s="31" t="inlineStr">
        <is>
          <t>никогда не заменяется; только расширяется новыми строками</t>
        </is>
      </c>
    </row>
    <row r="11">
      <c r="A11" s="30" t="inlineStr">
        <is>
          <t>Правило заполнения</t>
        </is>
      </c>
      <c r="B11" s="31" t="inlineStr">
        <is>
          <t>одна строка = одно адресуемое место корпуса; не придумывать скрытых уровней</t>
        </is>
      </c>
    </row>
    <row r="13">
      <c r="A13" s="33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32" t="inlineStr">
        <is>
          <t>corpus_row_id</t>
        </is>
      </c>
      <c r="B15" s="31" t="inlineStr">
        <is>
          <t>да</t>
        </is>
      </c>
      <c r="C15" s="31" t="inlineStr">
        <is>
          <t>string</t>
        </is>
      </c>
      <c r="D15" s="31" t="inlineStr">
        <is>
          <t>технический id строки карты</t>
        </is>
      </c>
      <c r="E15" s="31" t="inlineStr">
        <is>
          <t>cm.1.1.1.8</t>
        </is>
      </c>
      <c r="F15" s="31" t="inlineStr">
        <is>
          <t>стабилен</t>
        </is>
      </c>
    </row>
    <row r="16">
      <c r="A16" s="32" t="inlineStr">
        <is>
          <t>work_id</t>
        </is>
      </c>
      <c r="B16" s="31" t="inlineStr">
        <is>
          <t>да</t>
        </is>
      </c>
      <c r="C16" s="31" t="inlineStr">
        <is>
          <t>string</t>
        </is>
      </c>
      <c r="D16" s="31" t="inlineStr">
        <is>
          <t>id произведения</t>
        </is>
      </c>
      <c r="E16" s="31" t="inlineStr">
        <is>
          <t>thus-spoke-zarathustra</t>
        </is>
      </c>
      <c r="F16" s="31" t="inlineStr">
        <is>
          <t>один на книгу/корпус</t>
        </is>
      </c>
    </row>
    <row r="17">
      <c r="A17" s="32" t="inlineStr">
        <is>
          <t>part_no</t>
        </is>
      </c>
      <c r="B17" s="31" t="inlineStr">
        <is>
          <t>да</t>
        </is>
      </c>
      <c r="C17" s="31" t="inlineStr">
        <is>
          <t>integer</t>
        </is>
      </c>
      <c r="D17" s="31" t="inlineStr">
        <is>
          <t>номер части</t>
        </is>
      </c>
      <c r="E17" s="31" t="inlineStr">
        <is>
          <t>1</t>
        </is>
      </c>
      <c r="F17" s="31" t="inlineStr">
        <is>
          <t>если уровень есть</t>
        </is>
      </c>
    </row>
    <row r="18">
      <c r="A18" s="32" t="inlineStr">
        <is>
          <t>chapter_no</t>
        </is>
      </c>
      <c r="B18" s="31" t="inlineStr">
        <is>
          <t>да</t>
        </is>
      </c>
      <c r="C18" s="31" t="inlineStr">
        <is>
          <t>integer</t>
        </is>
      </c>
      <c r="D18" s="31" t="inlineStr">
        <is>
          <t>номер главы</t>
        </is>
      </c>
      <c r="E18" s="31" t="inlineStr">
        <is>
          <t>1</t>
        </is>
      </c>
      <c r="F18" s="31" t="inlineStr">
        <is>
          <t>если уровень есть</t>
        </is>
      </c>
    </row>
    <row r="19">
      <c r="A19" s="32" t="inlineStr">
        <is>
          <t>subchapter_no</t>
        </is>
      </c>
      <c r="B19" s="31" t="inlineStr">
        <is>
          <t>да</t>
        </is>
      </c>
      <c r="C19" s="31" t="inlineStr">
        <is>
          <t>integer</t>
        </is>
      </c>
      <c r="D19" s="31" t="inlineStr">
        <is>
          <t>номер части главы</t>
        </is>
      </c>
      <c r="E19" s="31" t="inlineStr">
        <is>
          <t>1</t>
        </is>
      </c>
      <c r="F19" s="31" t="inlineStr">
        <is>
          <t>для твоего secondary</t>
        </is>
      </c>
    </row>
    <row r="20">
      <c r="A20" s="32" t="inlineStr">
        <is>
          <t>paragraph_no</t>
        </is>
      </c>
      <c r="B20" s="31" t="inlineStr">
        <is>
          <t>да</t>
        </is>
      </c>
      <c r="C20" s="31" t="inlineStr">
        <is>
          <t>integer</t>
        </is>
      </c>
      <c r="D20" s="31" t="inlineStr">
        <is>
          <t>номер абзаца</t>
        </is>
      </c>
      <c r="E20" s="31" t="inlineStr">
        <is>
          <t>8</t>
        </is>
      </c>
      <c r="F20" s="31" t="inlineStr">
        <is>
          <t>для paragraph spine</t>
        </is>
      </c>
    </row>
    <row r="21">
      <c r="A21" s="32" t="inlineStr">
        <is>
          <t>source_secondary</t>
        </is>
      </c>
      <c r="B21" s="31" t="inlineStr">
        <is>
          <t>да</t>
        </is>
      </c>
      <c r="C21" s="31" t="inlineStr">
        <is>
          <t>string</t>
        </is>
      </c>
      <c r="D21" s="31" t="inlineStr">
        <is>
          <t>человеческий вторичный адрес</t>
        </is>
      </c>
      <c r="E21" s="31" t="inlineStr">
        <is>
          <t>1,1,1,8</t>
        </is>
      </c>
      <c r="F21" s="31" t="inlineStr">
        <is>
          <t>главный внешний якорь</t>
        </is>
      </c>
    </row>
    <row r="22">
      <c r="A22" s="32" t="inlineStr">
        <is>
          <t>sort_key</t>
        </is>
      </c>
      <c r="B22" s="31" t="inlineStr">
        <is>
          <t>да</t>
        </is>
      </c>
      <c r="C22" s="31" t="inlineStr">
        <is>
          <t>integer</t>
        </is>
      </c>
      <c r="D22" s="31" t="inlineStr">
        <is>
          <t>порядок обхода</t>
        </is>
      </c>
      <c r="E22" s="31" t="inlineStr">
        <is>
          <t>8</t>
        </is>
      </c>
      <c r="F22" s="31" t="inlineStr">
        <is>
          <t>строгий порядок</t>
        </is>
      </c>
    </row>
    <row r="23">
      <c r="A23" s="32" t="inlineStr">
        <is>
          <t>title_ru</t>
        </is>
      </c>
      <c r="B23" s="31" t="inlineStr">
        <is>
          <t>нет</t>
        </is>
      </c>
      <c r="C23" s="31" t="inlineStr">
        <is>
          <t>string</t>
        </is>
      </c>
      <c r="D23" s="31" t="inlineStr">
        <is>
          <t>рабочее имя места</t>
        </is>
      </c>
      <c r="E23" s="31" t="inlineStr">
        <is>
          <t>untergehen как выбранный спуск</t>
        </is>
      </c>
      <c r="F23" s="31" t="inlineStr">
        <is>
          <t>не обязательно</t>
        </is>
      </c>
    </row>
    <row r="24">
      <c r="A24" s="32" t="inlineStr">
        <is>
          <t>title_en</t>
        </is>
      </c>
      <c r="B24" s="31" t="inlineStr">
        <is>
          <t>нет</t>
        </is>
      </c>
      <c r="C24" s="31" t="inlineStr">
        <is>
          <t>string</t>
        </is>
      </c>
      <c r="D24" s="31" t="inlineStr">
        <is>
          <t>рабочее английское имя места</t>
        </is>
      </c>
      <c r="E24" s="31" t="inlineStr">
        <is>
          <t>chosen descent as go-under</t>
        </is>
      </c>
      <c r="F24" s="31" t="inlineStr">
        <is>
          <t>если нужен bridge/export</t>
        </is>
      </c>
    </row>
    <row r="25">
      <c r="A25" s="32" t="inlineStr">
        <is>
          <t>note</t>
        </is>
      </c>
      <c r="B25" s="31" t="inlineStr">
        <is>
          <t>нет</t>
        </is>
      </c>
      <c r="C25" s="31" t="inlineStr">
        <is>
          <t>text</t>
        </is>
      </c>
      <c r="D25" s="31" t="inlineStr">
        <is>
          <t>служебная заметка</t>
        </is>
      </c>
      <c r="E25" s="31" t="inlineStr">
        <is>
          <t>абзац пролога</t>
        </is>
      </c>
      <c r="F25" s="31" t="inlineStr">
        <is>
          <t>без толкования</t>
        </is>
      </c>
    </row>
    <row r="27">
      <c r="A27" s="33" t="inlineStr">
        <is>
          <t>Канонический пример строки</t>
        </is>
      </c>
    </row>
    <row r="28" ht="20" customHeight="1">
      <c r="A28" s="5" t="inlineStr">
        <is>
          <t>corpus_row_id</t>
        </is>
      </c>
      <c r="B28" s="5" t="inlineStr">
        <is>
          <t>work_id</t>
        </is>
      </c>
      <c r="C28" s="5" t="inlineStr">
        <is>
          <t>part_no</t>
        </is>
      </c>
      <c r="D28" s="5" t="inlineStr">
        <is>
          <t>chapter_no</t>
        </is>
      </c>
      <c r="E28" s="5" t="inlineStr">
        <is>
          <t>subchapter_no</t>
        </is>
      </c>
      <c r="F28" s="5" t="inlineStr">
        <is>
          <t>paragraph_no</t>
        </is>
      </c>
      <c r="G28" s="5" t="inlineStr">
        <is>
          <t>source_secondary</t>
        </is>
      </c>
      <c r="H28" s="5" t="inlineStr">
        <is>
          <t>sort_key</t>
        </is>
      </c>
      <c r="I28" s="5" t="inlineStr">
        <is>
          <t>title_ru</t>
        </is>
      </c>
      <c r="J28" s="5" t="inlineStr">
        <is>
          <t>title_en</t>
        </is>
      </c>
      <c r="K28" s="5" t="inlineStr">
        <is>
          <t>note</t>
        </is>
      </c>
    </row>
    <row r="29" ht="20" customHeight="1">
      <c r="A29" s="32" t="inlineStr">
        <is>
          <t>cm.1.1.1.8</t>
        </is>
      </c>
      <c r="B29" s="31" t="inlineStr">
        <is>
          <t>thus-spoke-zarathustra</t>
        </is>
      </c>
      <c r="C29" s="31" t="n">
        <v>1</v>
      </c>
      <c r="D29" s="31" t="n">
        <v>1</v>
      </c>
      <c r="E29" s="31" t="n">
        <v>1</v>
      </c>
      <c r="F29" s="31" t="n">
        <v>8</v>
      </c>
      <c r="G29" s="31" t="inlineStr">
        <is>
          <t>1,1,1,8</t>
        </is>
      </c>
      <c r="H29" s="31" t="n">
        <v>8</v>
      </c>
      <c r="I29" s="31" t="inlineStr">
        <is>
          <t>untergehen как выбранный спуск</t>
        </is>
      </c>
      <c r="J29" s="31" t="inlineStr">
        <is>
          <t>chosen descent as go-under</t>
        </is>
      </c>
      <c r="K29" s="31" t="inlineStr">
        <is>
          <t>локатор пролога [8]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2" customWidth="1" min="3" max="3"/>
    <col width="18" customWidth="1" min="4" max="4"/>
    <col width="20" customWidth="1" min="5" max="5"/>
    <col width="20" customWidth="1" min="6" max="6"/>
    <col width="14" customWidth="1" min="7" max="7"/>
    <col width="28" customWidth="1" min="8" max="8"/>
    <col width="26" customWidth="1" min="9" max="9"/>
    <col width="12" customWidth="1" min="10" max="10"/>
    <col width="18" customWidth="1" min="11" max="11"/>
  </cols>
  <sheetData>
    <row r="1" ht="24" customHeight="1">
      <c r="A1" s="28" t="inlineStr">
        <is>
          <t>Схема: witnesses</t>
        </is>
      </c>
    </row>
    <row r="2" ht="20" customHeight="1">
      <c r="A2" s="29" t="inlineStr">
        <is>
          <t>Кто говорит и в каком статусе.</t>
        </is>
      </c>
    </row>
    <row r="4">
      <c r="A4" s="30" t="inlineStr">
        <is>
          <t>Таблица</t>
        </is>
      </c>
      <c r="B4" s="31" t="inlineStr">
        <is>
          <t>witnesses</t>
        </is>
      </c>
    </row>
    <row r="5">
      <c r="A5" s="30" t="inlineStr">
        <is>
          <t>Волна</t>
        </is>
      </c>
      <c r="B5" s="31" t="inlineStr">
        <is>
          <t>фундаментальный</t>
        </is>
      </c>
    </row>
    <row r="6">
      <c r="A6" s="30" t="inlineStr">
        <is>
          <t>Назначение</t>
        </is>
      </c>
      <c r="B6" s="31" t="inlineStr">
        <is>
          <t>держать provenance явным и не путать canonical source с переводом, bridge или agent layer</t>
        </is>
      </c>
    </row>
    <row r="7">
      <c r="A7" s="30" t="inlineStr">
        <is>
          <t>Обязательность</t>
        </is>
      </c>
      <c r="B7" s="31" t="inlineStr">
        <is>
          <t>заводить сразу</t>
        </is>
      </c>
    </row>
    <row r="8">
      <c r="A8" s="30" t="inlineStr">
        <is>
          <t>Первичный ключ</t>
        </is>
      </c>
      <c r="B8" s="31" t="inlineStr">
        <is>
          <t>witness_id</t>
        </is>
      </c>
    </row>
    <row r="9">
      <c r="A9" s="30" t="inlineStr">
        <is>
          <t>Зависит от</t>
        </is>
      </c>
      <c r="B9" s="31" t="inlineStr">
        <is>
          <t>на corpus_map только логически</t>
        </is>
      </c>
    </row>
    <row r="10">
      <c r="A10" s="30" t="inlineStr">
        <is>
          <t>Когда спавнить</t>
        </is>
      </c>
      <c r="B10" s="31" t="inlineStr">
        <is>
          <t>новая строка на каждый новый witness-слой</t>
        </is>
      </c>
    </row>
    <row r="11">
      <c r="A11" s="30" t="inlineStr">
        <is>
          <t>Правило заполнения</t>
        </is>
      </c>
      <c r="B11" s="31" t="inlineStr">
        <is>
          <t>одна строка = один текстовый свидетель; witness_role и authority_level обязательны</t>
        </is>
      </c>
    </row>
    <row r="13">
      <c r="A13" s="33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32" t="inlineStr">
        <is>
          <t>witness_id</t>
        </is>
      </c>
      <c r="B15" s="31" t="inlineStr">
        <is>
          <t>да</t>
        </is>
      </c>
      <c r="C15" s="31" t="inlineStr">
        <is>
          <t>string</t>
        </is>
      </c>
      <c r="D15" s="31" t="inlineStr">
        <is>
          <t>стабильный id witness-а</t>
        </is>
      </c>
      <c r="E15" s="31" t="inlineStr">
        <is>
          <t>w.ru.dionysus.translation.v1</t>
        </is>
      </c>
      <c r="F15" s="31" t="inlineStr">
        <is>
          <t>не менять без причины</t>
        </is>
      </c>
    </row>
    <row r="16">
      <c r="A16" s="32" t="inlineStr">
        <is>
          <t>language</t>
        </is>
      </c>
      <c r="B16" s="31" t="inlineStr">
        <is>
          <t>да</t>
        </is>
      </c>
      <c r="C16" s="31" t="inlineStr">
        <is>
          <t>string</t>
        </is>
      </c>
      <c r="D16" s="31" t="inlineStr">
        <is>
          <t>язык witness-а</t>
        </is>
      </c>
      <c r="E16" s="31" t="inlineStr">
        <is>
          <t>ru</t>
        </is>
      </c>
      <c r="F16" s="31" t="inlineStr">
        <is>
          <t>ISO или короткий код</t>
        </is>
      </c>
    </row>
    <row r="17">
      <c r="A17" s="32" t="inlineStr">
        <is>
          <t>witness_role</t>
        </is>
      </c>
      <c r="B17" s="31" t="inlineStr">
        <is>
          <t>да</t>
        </is>
      </c>
      <c r="C17" s="31" t="inlineStr">
        <is>
          <t>enum</t>
        </is>
      </c>
      <c r="D17" s="31" t="inlineStr">
        <is>
          <t>canonical_source / working_translation / bridge_translation / agent_generated_witness</t>
        </is>
      </c>
      <c r="E17" s="31" t="inlineStr">
        <is>
          <t>working_translation</t>
        </is>
      </c>
      <c r="F17" s="31" t="inlineStr">
        <is>
          <t>роль важнее названия</t>
        </is>
      </c>
    </row>
    <row r="18">
      <c r="A18" s="32" t="inlineStr">
        <is>
          <t>authority_level</t>
        </is>
      </c>
      <c r="B18" s="31" t="inlineStr">
        <is>
          <t>да</t>
        </is>
      </c>
      <c r="C18" s="31" t="inlineStr">
        <is>
          <t>enum</t>
        </is>
      </c>
      <c r="D18" s="31" t="inlineStr">
        <is>
          <t>canonical / derived_human / derived_noncanonical</t>
        </is>
      </c>
      <c r="E18" s="31" t="inlineStr">
        <is>
          <t>derived_human</t>
        </is>
      </c>
      <c r="F18" s="31" t="inlineStr">
        <is>
          <t>не завышать авторитет</t>
        </is>
      </c>
    </row>
    <row r="19">
      <c r="A19" s="32" t="inlineStr">
        <is>
          <t>author_or_translator</t>
        </is>
      </c>
      <c r="B19" s="31" t="inlineStr">
        <is>
          <t>нет</t>
        </is>
      </c>
      <c r="C19" s="31" t="inlineStr">
        <is>
          <t>string</t>
        </is>
      </c>
      <c r="D19" s="31" t="inlineStr">
        <is>
          <t>автор или переводчик</t>
        </is>
      </c>
      <c r="E19" s="31" t="inlineStr">
        <is>
          <t>Dionysus</t>
        </is>
      </c>
      <c r="F19" s="31" t="inlineStr">
        <is>
          <t>если уместно</t>
        </is>
      </c>
    </row>
    <row r="20">
      <c r="A20" s="32" t="inlineStr">
        <is>
          <t>edition_or_source</t>
        </is>
      </c>
      <c r="B20" s="31" t="inlineStr">
        <is>
          <t>нет</t>
        </is>
      </c>
      <c r="C20" s="31" t="inlineStr">
        <is>
          <t>string</t>
        </is>
      </c>
      <c r="D20" s="31" t="inlineStr">
        <is>
          <t>редакция или источник</t>
        </is>
      </c>
      <c r="E20" s="31" t="inlineStr">
        <is>
          <t>facsimile-backed 1883</t>
        </is>
      </c>
      <c r="F20" s="31" t="inlineStr">
        <is>
          <t>видимая provenance</t>
        </is>
      </c>
    </row>
    <row r="21">
      <c r="A21" s="32" t="inlineStr">
        <is>
          <t>publication_year</t>
        </is>
      </c>
      <c r="B21" s="31" t="inlineStr">
        <is>
          <t>нет</t>
        </is>
      </c>
      <c r="C21" s="31" t="inlineStr">
        <is>
          <t>integer</t>
        </is>
      </c>
      <c r="D21" s="31" t="inlineStr">
        <is>
          <t>год публикации</t>
        </is>
      </c>
      <c r="E21" s="31" t="inlineStr">
        <is>
          <t>1883</t>
        </is>
      </c>
      <c r="F21" s="31" t="inlineStr">
        <is>
          <t>если известен</t>
        </is>
      </c>
    </row>
    <row r="22">
      <c r="A22" s="32" t="inlineStr">
        <is>
          <t>based_on</t>
        </is>
      </c>
      <c r="B22" s="31" t="inlineStr">
        <is>
          <t>нет</t>
        </is>
      </c>
      <c r="C22" s="31" t="inlineStr">
        <is>
          <t>string</t>
        </is>
      </c>
      <c r="D22" s="31" t="inlineStr">
        <is>
          <t>на каком witness основан</t>
        </is>
      </c>
      <c r="E22" s="31" t="inlineStr">
        <is>
          <t>w.de.nietzsche.1883.facsimile</t>
        </is>
      </c>
      <c r="F22" s="31" t="inlineStr">
        <is>
          <t>для derived слоёв</t>
        </is>
      </c>
    </row>
    <row r="23">
      <c r="A23" s="32" t="inlineStr">
        <is>
          <t>normalization_note</t>
        </is>
      </c>
      <c r="B23" s="31" t="inlineStr">
        <is>
          <t>нет</t>
        </is>
      </c>
      <c r="C23" s="31" t="inlineStr">
        <is>
          <t>text</t>
        </is>
      </c>
      <c r="D23" s="31" t="inlineStr">
        <is>
          <t>что нормализовано</t>
        </is>
      </c>
      <c r="E23" s="31" t="inlineStr">
        <is>
          <t>surface cleanup pending</t>
        </is>
      </c>
      <c r="F23" s="31" t="inlineStr">
        <is>
          <t>важно для нормализации</t>
        </is>
      </c>
    </row>
    <row r="24">
      <c r="A24" s="32" t="inlineStr">
        <is>
          <t>active</t>
        </is>
      </c>
      <c r="B24" s="31" t="inlineStr">
        <is>
          <t>нет</t>
        </is>
      </c>
      <c r="C24" s="31" t="inlineStr">
        <is>
          <t>boolean</t>
        </is>
      </c>
      <c r="D24" s="31" t="inlineStr">
        <is>
          <t>используется ли в текущем проходе</t>
        </is>
      </c>
      <c r="E24" s="31" t="inlineStr">
        <is>
          <t>TRUE</t>
        </is>
      </c>
      <c r="F24" s="31" t="inlineStr">
        <is>
          <t>можно отключать не удаляя</t>
        </is>
      </c>
    </row>
    <row r="26">
      <c r="A26" s="33" t="inlineStr">
        <is>
          <t>Канонический пример строки</t>
        </is>
      </c>
    </row>
    <row r="27" ht="20" customHeight="1">
      <c r="A27" s="5" t="inlineStr">
        <is>
          <t>witness_id</t>
        </is>
      </c>
      <c r="B27" s="5" t="inlineStr">
        <is>
          <t>language</t>
        </is>
      </c>
      <c r="C27" s="5" t="inlineStr">
        <is>
          <t>witness_role</t>
        </is>
      </c>
      <c r="D27" s="5" t="inlineStr">
        <is>
          <t>authority_level</t>
        </is>
      </c>
      <c r="E27" s="5" t="inlineStr">
        <is>
          <t>author_or_translator</t>
        </is>
      </c>
      <c r="F27" s="5" t="inlineStr">
        <is>
          <t>edition_or_source</t>
        </is>
      </c>
      <c r="G27" s="5" t="inlineStr">
        <is>
          <t>publication_year</t>
        </is>
      </c>
      <c r="H27" s="5" t="inlineStr">
        <is>
          <t>based_on</t>
        </is>
      </c>
      <c r="I27" s="5" t="inlineStr">
        <is>
          <t>normalization_note</t>
        </is>
      </c>
      <c r="J27" s="5" t="inlineStr">
        <is>
          <t>active</t>
        </is>
      </c>
    </row>
    <row r="28" ht="20" customHeight="1">
      <c r="A28" s="32" t="inlineStr">
        <is>
          <t>w.ru.dionysus.translation.v1</t>
        </is>
      </c>
      <c r="B28" s="31" t="inlineStr">
        <is>
          <t>ru</t>
        </is>
      </c>
      <c r="C28" s="31" t="inlineStr">
        <is>
          <t>working_translation</t>
        </is>
      </c>
      <c r="D28" s="31" t="inlineStr">
        <is>
          <t>derived_human</t>
        </is>
      </c>
      <c r="E28" s="31" t="inlineStr">
        <is>
          <t>Dionysus</t>
        </is>
      </c>
      <c r="F28" s="31" t="inlineStr">
        <is>
          <t>facsimile-backed 1883</t>
        </is>
      </c>
      <c r="G28" s="31" t="n">
        <v>1883</v>
      </c>
      <c r="H28" s="31" t="inlineStr">
        <is>
          <t>w.de.nietzsche.1883.facsimile</t>
        </is>
      </c>
      <c r="I28" s="31" t="inlineStr">
        <is>
          <t>минимальная нормализация</t>
        </is>
      </c>
      <c r="J28" s="31" t="b">
        <v>1</v>
      </c>
    </row>
  </sheetData>
  <dataValidations count="3">
    <dataValidation sqref="C28" showDropDown="0" showInputMessage="0" showErrorMessage="0" allowBlank="1" type="list">
      <formula1>"canonical_source,working_translation,bridge_translation,agent_generated_witness"</formula1>
    </dataValidation>
    <dataValidation sqref="D28" showDropDown="0" showInputMessage="0" showErrorMessage="0" allowBlank="1" type="list">
      <formula1>"canonical,derived_human,derived_noncanonical"</formula1>
    </dataValidation>
    <dataValidation sqref="J28" showDropDown="0" showInputMessage="0" showErrorMessage="0" allowBlank="1" type="list">
      <formula1>"TRUE,FALSE"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2" customWidth="1" min="4" max="4"/>
    <col width="16" customWidth="1" min="5" max="5"/>
    <col width="18" customWidth="1" min="6" max="6"/>
    <col width="26" customWidth="1" min="7" max="7"/>
    <col width="22" customWidth="1" min="8" max="8"/>
    <col width="26" customWidth="1" min="9" max="9"/>
    <col width="18" customWidth="1" min="10" max="10"/>
    <col width="18" customWidth="1" min="11" max="11"/>
  </cols>
  <sheetData>
    <row r="1" ht="24" customHeight="1">
      <c r="A1" s="28" t="inlineStr">
        <is>
          <t>Схема: segments</t>
        </is>
      </c>
    </row>
    <row r="2" ht="20" customHeight="1">
      <c r="A2" s="29" t="inlineStr">
        <is>
          <t>Shared paragraph-aligned spine и anchors.</t>
        </is>
      </c>
    </row>
    <row r="4">
      <c r="A4" s="30" t="inlineStr">
        <is>
          <t>Таблица</t>
        </is>
      </c>
      <c r="B4" s="31" t="inlineStr">
        <is>
          <t>segments</t>
        </is>
      </c>
    </row>
    <row r="5">
      <c r="A5" s="30" t="inlineStr">
        <is>
          <t>Волна</t>
        </is>
      </c>
      <c r="B5" s="31" t="inlineStr">
        <is>
          <t>фундаментальный</t>
        </is>
      </c>
    </row>
    <row r="6">
      <c r="A6" s="30" t="inlineStr">
        <is>
          <t>Назначение</t>
        </is>
      </c>
      <c r="B6" s="31" t="inlineStr">
        <is>
          <t>дать общий локатор для de / ru / en и всех derived слоёв</t>
        </is>
      </c>
    </row>
    <row r="7">
      <c r="A7" s="30" t="inlineStr">
        <is>
          <t>Обязательность</t>
        </is>
      </c>
      <c r="B7" s="31" t="inlineStr">
        <is>
          <t>заводить сразу</t>
        </is>
      </c>
    </row>
    <row r="8">
      <c r="A8" s="30" t="inlineStr">
        <is>
          <t>Первичный ключ</t>
        </is>
      </c>
      <c r="B8" s="31" t="inlineStr">
        <is>
          <t>segment_id</t>
        </is>
      </c>
    </row>
    <row r="9">
      <c r="A9" s="30" t="inlineStr">
        <is>
          <t>Зависит от</t>
        </is>
      </c>
      <c r="B9" s="31" t="inlineStr">
        <is>
          <t>corpus_map</t>
        </is>
      </c>
    </row>
    <row r="10">
      <c r="A10" s="30" t="inlineStr">
        <is>
          <t>Когда спавнить</t>
        </is>
      </c>
      <c r="B10" s="31" t="inlineStr">
        <is>
          <t>новая строка на каждый segment из bounded route</t>
        </is>
      </c>
    </row>
    <row r="11">
      <c r="A11" s="30" t="inlineStr">
        <is>
          <t>Правило заполнения</t>
        </is>
      </c>
      <c r="B11" s="31" t="inlineStr">
        <is>
          <t>одна строка = один общий сегмент; witness-specific тексты живут в witness surface, не здесь</t>
        </is>
      </c>
    </row>
    <row r="13">
      <c r="A13" s="33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32" t="inlineStr">
        <is>
          <t>segment_id</t>
        </is>
      </c>
      <c r="B15" s="31" t="inlineStr">
        <is>
          <t>да</t>
        </is>
      </c>
      <c r="C15" s="31" t="inlineStr">
        <is>
          <t>string</t>
        </is>
      </c>
      <c r="D15" s="31" t="inlineStr">
        <is>
          <t>стабильный id сегмента</t>
        </is>
      </c>
      <c r="E15" s="31" t="inlineStr">
        <is>
          <t>seg.1.1.1.8</t>
        </is>
      </c>
      <c r="F15" s="31" t="inlineStr">
        <is>
          <t>один на общий segment</t>
        </is>
      </c>
    </row>
    <row r="16">
      <c r="A16" s="32" t="inlineStr">
        <is>
          <t>source_secondary</t>
        </is>
      </c>
      <c r="B16" s="31" t="inlineStr">
        <is>
          <t>да</t>
        </is>
      </c>
      <c r="C16" s="31" t="inlineStr">
        <is>
          <t>string</t>
        </is>
      </c>
      <c r="D16" s="31" t="inlineStr">
        <is>
          <t>вторичный адрес</t>
        </is>
      </c>
      <c r="E16" s="31" t="inlineStr">
        <is>
          <t>1,1,1,8</t>
        </is>
      </c>
      <c r="F16" s="31" t="inlineStr">
        <is>
          <t>сквозной anchor</t>
        </is>
      </c>
    </row>
    <row r="17">
      <c r="A17" s="32" t="inlineStr">
        <is>
          <t>paragraph_anchor</t>
        </is>
      </c>
      <c r="B17" s="31" t="inlineStr">
        <is>
          <t>да</t>
        </is>
      </c>
      <c r="C17" s="31" t="inlineStr">
        <is>
          <t>string</t>
        </is>
      </c>
      <c r="D17" s="31" t="inlineStr">
        <is>
          <t>anchor вида [n]</t>
        </is>
      </c>
      <c r="E17" s="31" t="inlineStr">
        <is>
          <t>[8]</t>
        </is>
      </c>
      <c r="F17" s="31" t="inlineStr">
        <is>
          <t>общий для свидетелей</t>
        </is>
      </c>
    </row>
    <row r="18">
      <c r="A18" s="32" t="inlineStr">
        <is>
          <t>sort_key</t>
        </is>
      </c>
      <c r="B18" s="31" t="inlineStr">
        <is>
          <t>да</t>
        </is>
      </c>
      <c r="C18" s="31" t="inlineStr">
        <is>
          <t>integer</t>
        </is>
      </c>
      <c r="D18" s="31" t="inlineStr">
        <is>
          <t>порядок в route</t>
        </is>
      </c>
      <c r="E18" s="31" t="inlineStr">
        <is>
          <t>8</t>
        </is>
      </c>
      <c r="F18" s="31" t="inlineStr">
        <is>
          <t>строгий обход</t>
        </is>
      </c>
    </row>
    <row r="19">
      <c r="A19" s="32" t="inlineStr">
        <is>
          <t>line_span</t>
        </is>
      </c>
      <c r="B19" s="31" t="inlineStr">
        <is>
          <t>нет</t>
        </is>
      </c>
      <c r="C19" s="31" t="inlineStr">
        <is>
          <t>string</t>
        </is>
      </c>
      <c r="D19" s="31" t="inlineStr">
        <is>
          <t>диапазон строк в donor file</t>
        </is>
      </c>
      <c r="E19" s="31" t="inlineStr">
        <is>
          <t>L155-L169</t>
        </is>
      </c>
      <c r="F19" s="31" t="inlineStr">
        <is>
          <t>полезно для file-level привязки</t>
        </is>
      </c>
    </row>
    <row r="20">
      <c r="A20" s="32" t="inlineStr">
        <is>
          <t>witness_scope</t>
        </is>
      </c>
      <c r="B20" s="31" t="inlineStr">
        <is>
          <t>да</t>
        </is>
      </c>
      <c r="C20" s="31" t="inlineStr">
        <is>
          <t>string</t>
        </is>
      </c>
      <c r="D20" s="31" t="inlineStr">
        <is>
          <t>какие witness-слои разделяют сегмент</t>
        </is>
      </c>
      <c r="E20" s="31" t="inlineStr">
        <is>
          <t>de+ru+en</t>
        </is>
      </c>
      <c r="F20" s="31" t="inlineStr">
        <is>
          <t>обычно общий</t>
        </is>
      </c>
    </row>
    <row r="21">
      <c r="A21" s="32" t="inlineStr">
        <is>
          <t>cluster_id</t>
        </is>
      </c>
      <c r="B21" s="31" t="inlineStr">
        <is>
          <t>нет</t>
        </is>
      </c>
      <c r="C21" s="31" t="inlineStr">
        <is>
          <t>string</t>
        </is>
      </c>
      <c r="D21" s="31" t="inlineStr">
        <is>
          <t>составной кластер для multi-anchor логики</t>
        </is>
      </c>
      <c r="E21" s="31" t="inlineStr">
        <is>
          <t>cluster.descent_going_under</t>
        </is>
      </c>
      <c r="F21" s="31" t="inlineStr">
        <is>
          <t>если нужен</t>
        </is>
      </c>
    </row>
    <row r="22">
      <c r="A22" s="32" t="inlineStr">
        <is>
          <t>working_name</t>
        </is>
      </c>
      <c r="B22" s="31" t="inlineStr">
        <is>
          <t>нет</t>
        </is>
      </c>
      <c r="C22" s="31" t="inlineStr">
        <is>
          <t>string</t>
        </is>
      </c>
      <c r="D22" s="31" t="inlineStr">
        <is>
          <t>рабочее имя сегмента</t>
        </is>
      </c>
      <c r="E22" s="31" t="inlineStr">
        <is>
          <t>go-under-to-humans</t>
        </is>
      </c>
      <c r="F22" s="31" t="inlineStr">
        <is>
          <t>для навигации</t>
        </is>
      </c>
    </row>
    <row r="23">
      <c r="A23" s="32" t="inlineStr">
        <is>
          <t>note</t>
        </is>
      </c>
      <c r="B23" s="31" t="inlineStr">
        <is>
          <t>нет</t>
        </is>
      </c>
      <c r="C23" s="31" t="inlineStr">
        <is>
          <t>text</t>
        </is>
      </c>
      <c r="D23" s="31" t="inlineStr">
        <is>
          <t>технич. комментарий</t>
        </is>
      </c>
      <c r="E23" s="31" t="inlineStr">
        <is>
          <t>переходит в reasoning cluster</t>
        </is>
      </c>
      <c r="F23" s="31" t="inlineStr">
        <is>
          <t>без философской инфляции</t>
        </is>
      </c>
    </row>
    <row r="25">
      <c r="A25" s="33" t="inlineStr">
        <is>
          <t>Канонический пример строки</t>
        </is>
      </c>
    </row>
    <row r="26" ht="20" customHeight="1">
      <c r="A26" s="5" t="inlineStr">
        <is>
          <t>segment_id</t>
        </is>
      </c>
      <c r="B26" s="5" t="inlineStr">
        <is>
          <t>source_secondary</t>
        </is>
      </c>
      <c r="C26" s="5" t="inlineStr">
        <is>
          <t>paragraph_anchor</t>
        </is>
      </c>
      <c r="D26" s="5" t="inlineStr">
        <is>
          <t>sort_key</t>
        </is>
      </c>
      <c r="E26" s="5" t="inlineStr">
        <is>
          <t>witness_scope</t>
        </is>
      </c>
      <c r="F26" s="5" t="inlineStr">
        <is>
          <t>line_span</t>
        </is>
      </c>
      <c r="G26" s="5" t="inlineStr">
        <is>
          <t>cluster_id</t>
        </is>
      </c>
      <c r="H26" s="5" t="inlineStr">
        <is>
          <t>working_name</t>
        </is>
      </c>
      <c r="I26" s="5" t="inlineStr">
        <is>
          <t>note</t>
        </is>
      </c>
    </row>
    <row r="27" ht="20" customHeight="1">
      <c r="A27" s="32" t="inlineStr">
        <is>
          <t>seg.1.1.1.8</t>
        </is>
      </c>
      <c r="B27" s="31" t="inlineStr">
        <is>
          <t>1,1,1,8</t>
        </is>
      </c>
      <c r="C27" s="31" t="inlineStr">
        <is>
          <t>[8]</t>
        </is>
      </c>
      <c r="D27" s="31" t="n">
        <v>8</v>
      </c>
      <c r="E27" s="31" t="inlineStr">
        <is>
          <t>de+ru+en</t>
        </is>
      </c>
      <c r="F27" s="31" t="inlineStr">
        <is>
          <t>L155-L169</t>
        </is>
      </c>
      <c r="G27" s="31" t="inlineStr">
        <is>
          <t>cluster.descent_going_under</t>
        </is>
      </c>
      <c r="H27" s="31" t="inlineStr">
        <is>
          <t>go-under-to-humans</t>
        </is>
      </c>
      <c r="I27" s="31" t="inlineStr">
        <is>
          <t>переходит в reasoning cluster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20" customWidth="1" min="4" max="4"/>
    <col width="18" customWidth="1" min="5" max="5"/>
    <col width="18" customWidth="1" min="6" max="6"/>
    <col width="20" customWidth="1" min="7" max="7"/>
    <col width="18" customWidth="1" min="8" max="8"/>
    <col width="12" customWidth="1" min="9" max="9"/>
    <col width="26" customWidth="1" min="10" max="10"/>
    <col width="18" customWidth="1" min="11" max="11"/>
  </cols>
  <sheetData>
    <row r="1" ht="24" customHeight="1">
      <c r="A1" s="28" t="inlineStr">
        <is>
          <t>Схема: nodes</t>
        </is>
      </c>
    </row>
    <row r="2" ht="20" customHeight="1">
      <c r="A2" s="29" t="inlineStr">
        <is>
          <t>Устойчивые сущности, символы, понятия, места.</t>
        </is>
      </c>
    </row>
    <row r="4">
      <c r="A4" s="30" t="inlineStr">
        <is>
          <t>Таблица</t>
        </is>
      </c>
      <c r="B4" s="31" t="inlineStr">
        <is>
          <t>nodes</t>
        </is>
      </c>
    </row>
    <row r="5">
      <c r="A5" s="30" t="inlineStr">
        <is>
          <t>Волна</t>
        </is>
      </c>
      <c r="B5" s="31" t="inlineStr">
        <is>
          <t>фундаментальный</t>
        </is>
      </c>
    </row>
    <row r="6">
      <c r="A6" s="30" t="inlineStr">
        <is>
          <t>Назначение</t>
        </is>
      </c>
      <c r="B6" s="31" t="inlineStr">
        <is>
          <t>хранить переиспользуемые значения, а не фразы witness-поверхности</t>
        </is>
      </c>
    </row>
    <row r="7">
      <c r="A7" s="30" t="inlineStr">
        <is>
          <t>Обязательность</t>
        </is>
      </c>
      <c r="B7" s="31" t="inlineStr">
        <is>
          <t>заводить сразу</t>
        </is>
      </c>
    </row>
    <row r="8">
      <c r="A8" s="30" t="inlineStr">
        <is>
          <t>Первичный ключ</t>
        </is>
      </c>
      <c r="B8" s="31" t="inlineStr">
        <is>
          <t>node_id</t>
        </is>
      </c>
    </row>
    <row r="9">
      <c r="A9" s="30" t="inlineStr">
        <is>
          <t>Зависит от</t>
        </is>
      </c>
      <c r="B9" s="31" t="inlineStr">
        <is>
          <t>segments логически; напрямую можно стартовать параллельно</t>
        </is>
      </c>
    </row>
    <row r="10">
      <c r="A10" s="30" t="inlineStr">
        <is>
          <t>Когда спавнить</t>
        </is>
      </c>
      <c r="B10" s="31" t="inlineStr">
        <is>
          <t>новая строка, когда смысл становится переиспользуемым</t>
        </is>
      </c>
    </row>
    <row r="11">
      <c r="A11" s="30" t="inlineStr">
        <is>
          <t>Правило заполнения</t>
        </is>
      </c>
      <c r="B11" s="31" t="inlineStr">
        <is>
          <t>одна строка = один смысл; не создавать отдельный node под каждую языковую формулировку</t>
        </is>
      </c>
    </row>
    <row r="13">
      <c r="A13" s="33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32" t="inlineStr">
        <is>
          <t>node_id</t>
        </is>
      </c>
      <c r="B15" s="31" t="inlineStr">
        <is>
          <t>да</t>
        </is>
      </c>
      <c r="C15" s="31" t="inlineStr">
        <is>
          <t>string</t>
        </is>
      </c>
      <c r="D15" s="31" t="inlineStr">
        <is>
          <t>устойчивый id узла</t>
        </is>
      </c>
      <c r="E15" s="31" t="inlineStr">
        <is>
          <t>n.underworld</t>
        </is>
      </c>
      <c r="F15" s="31" t="inlineStr">
        <is>
          <t>one meaning -&gt; one node_id</t>
        </is>
      </c>
    </row>
    <row r="16">
      <c r="A16" s="32" t="inlineStr">
        <is>
          <t>label_ru</t>
        </is>
      </c>
      <c r="B16" s="31" t="inlineStr">
        <is>
          <t>да</t>
        </is>
      </c>
      <c r="C16" s="31" t="inlineStr">
        <is>
          <t>string</t>
        </is>
      </c>
      <c r="D16" s="31" t="inlineStr">
        <is>
          <t>рабочая русская метка</t>
        </is>
      </c>
      <c r="E16" s="31" t="inlineStr">
        <is>
          <t>подземный мир</t>
        </is>
      </c>
      <c r="F16" s="31" t="inlineStr">
        <is>
          <t>для human authoring</t>
        </is>
      </c>
    </row>
    <row r="17">
      <c r="A17" s="32" t="inlineStr">
        <is>
          <t>node_class</t>
        </is>
      </c>
      <c r="B17" s="31" t="inlineStr">
        <is>
          <t>да</t>
        </is>
      </c>
      <c r="C17" s="31" t="inlineStr">
        <is>
          <t>enum</t>
        </is>
      </c>
      <c r="D17" s="31" t="inlineStr">
        <is>
          <t>persona/entity/place/concept/animal-symbol/...</t>
        </is>
      </c>
      <c r="E17" s="31" t="inlineStr">
        <is>
          <t>underworld-domain</t>
        </is>
      </c>
      <c r="F17" s="31" t="inlineStr">
        <is>
          <t>тип узла</t>
        </is>
      </c>
    </row>
    <row r="18">
      <c r="A18" s="32" t="inlineStr">
        <is>
          <t>layer</t>
        </is>
      </c>
      <c r="B18" s="31" t="inlineStr">
        <is>
          <t>да</t>
        </is>
      </c>
      <c r="C18" s="31" t="inlineStr">
        <is>
          <t>enum</t>
        </is>
      </c>
      <c r="D18" s="31" t="inlineStr">
        <is>
          <t>source_linked / distilled_principle / authored_commentary</t>
        </is>
      </c>
      <c r="E18" s="31" t="inlineStr">
        <is>
          <t>source_linked</t>
        </is>
      </c>
      <c r="F18" s="31" t="inlineStr">
        <is>
          <t>режим утверждения</t>
        </is>
      </c>
    </row>
    <row r="19">
      <c r="A19" s="32" t="inlineStr">
        <is>
          <t>status</t>
        </is>
      </c>
      <c r="B19" s="31" t="inlineStr">
        <is>
          <t>нет</t>
        </is>
      </c>
      <c r="C19" s="31" t="inlineStr">
        <is>
          <t>enum</t>
        </is>
      </c>
      <c r="D19" s="31" t="inlineStr">
        <is>
          <t>new / reused</t>
        </is>
      </c>
      <c r="E19" s="31" t="inlineStr">
        <is>
          <t>new</t>
        </is>
      </c>
      <c r="F19" s="31" t="inlineStr">
        <is>
          <t>для контроля роста</t>
        </is>
      </c>
    </row>
    <row r="20">
      <c r="A20" s="32" t="inlineStr">
        <is>
          <t>first_segment_id</t>
        </is>
      </c>
      <c r="B20" s="31" t="inlineStr">
        <is>
          <t>да</t>
        </is>
      </c>
      <c r="C20" s="31" t="inlineStr">
        <is>
          <t>string</t>
        </is>
      </c>
      <c r="D20" s="31" t="inlineStr">
        <is>
          <t>где впервые закреплен</t>
        </is>
      </c>
      <c r="E20" s="31" t="inlineStr">
        <is>
          <t>seg.1.1.1.7</t>
        </is>
      </c>
      <c r="F20" s="31" t="inlineStr">
        <is>
          <t>первичный anchor</t>
        </is>
      </c>
    </row>
    <row r="21">
      <c r="A21" s="32" t="inlineStr">
        <is>
          <t>first_source_secondary</t>
        </is>
      </c>
      <c r="B21" s="31" t="inlineStr">
        <is>
          <t>да</t>
        </is>
      </c>
      <c r="C21" s="31" t="inlineStr">
        <is>
          <t>string</t>
        </is>
      </c>
      <c r="D21" s="31" t="inlineStr">
        <is>
          <t>вторичный адрес первого появления</t>
        </is>
      </c>
      <c r="E21" s="31" t="inlineStr">
        <is>
          <t>1,1,1,7</t>
        </is>
      </c>
      <c r="F21" s="31" t="inlineStr">
        <is>
          <t>быстрый адрес</t>
        </is>
      </c>
    </row>
    <row r="22">
      <c r="A22" s="32" t="inlineStr">
        <is>
          <t>canonical_label</t>
        </is>
      </c>
      <c r="B22" s="31" t="inlineStr">
        <is>
          <t>нет</t>
        </is>
      </c>
      <c r="C22" s="31" t="inlineStr">
        <is>
          <t>string</t>
        </is>
      </c>
      <c r="D22" s="31" t="inlineStr">
        <is>
          <t>нейтральное имя без языка поверхности</t>
        </is>
      </c>
      <c r="E22" s="31" t="inlineStr">
        <is>
          <t>underworld</t>
        </is>
      </c>
      <c r="F22" s="31" t="inlineStr">
        <is>
          <t>для экспорта</t>
        </is>
      </c>
    </row>
    <row r="23">
      <c r="A23" s="32" t="inlineStr">
        <is>
          <t>label_en</t>
        </is>
      </c>
      <c r="B23" s="31" t="inlineStr">
        <is>
          <t>нет</t>
        </is>
      </c>
      <c r="C23" s="31" t="inlineStr">
        <is>
          <t>string</t>
        </is>
      </c>
      <c r="D23" s="31" t="inlineStr">
        <is>
          <t>рабочая английская метка</t>
        </is>
      </c>
      <c r="E23" s="31" t="inlineStr">
        <is>
          <t>underworld</t>
        </is>
      </c>
      <c r="F23" s="31" t="inlineStr">
        <is>
          <t>если нужна для bridge/экспорта</t>
        </is>
      </c>
    </row>
    <row r="24">
      <c r="A24" s="31" t="inlineStr">
        <is>
          <t>note</t>
        </is>
      </c>
      <c r="B24" s="31" t="inlineStr">
        <is>
          <t>нет</t>
        </is>
      </c>
      <c r="C24" s="31" t="inlineStr">
        <is>
          <t>text</t>
        </is>
      </c>
      <c r="D24" s="31" t="inlineStr">
        <is>
          <t>служебная заметка</t>
        </is>
      </c>
      <c r="E24" s="31" t="inlineStr">
        <is>
          <t>адресат света солнца</t>
        </is>
      </c>
      <c r="F24" s="31" t="inlineStr">
        <is>
          <t>не заменяет principles</t>
        </is>
      </c>
    </row>
    <row r="25">
      <c r="A25" s="7" t="n"/>
    </row>
    <row r="26">
      <c r="A26" s="5" t="inlineStr">
        <is>
          <t>Канонический пример строки</t>
        </is>
      </c>
      <c r="B26" s="5" t="n"/>
      <c r="C26" s="5" t="n"/>
      <c r="D26" s="5" t="n"/>
      <c r="E26" s="5" t="n"/>
      <c r="F26" s="5" t="n"/>
    </row>
    <row r="27" ht="20" customHeight="1">
      <c r="A27" s="32" t="inlineStr">
        <is>
          <t>node_id</t>
        </is>
      </c>
      <c r="B27" s="32" t="inlineStr">
        <is>
          <t>label_ru</t>
        </is>
      </c>
      <c r="C27" s="32" t="inlineStr">
        <is>
          <t>node_class</t>
        </is>
      </c>
      <c r="D27" s="32" t="inlineStr">
        <is>
          <t>layer</t>
        </is>
      </c>
      <c r="E27" s="32" t="inlineStr">
        <is>
          <t>first_segment_id</t>
        </is>
      </c>
      <c r="F27" s="32" t="inlineStr">
        <is>
          <t>first_source_secondary</t>
        </is>
      </c>
      <c r="G27" s="32" t="inlineStr">
        <is>
          <t>canonical_label</t>
        </is>
      </c>
      <c r="H27" s="32" t="inlineStr">
        <is>
          <t>label_en</t>
        </is>
      </c>
      <c r="I27" s="32" t="inlineStr">
        <is>
          <t>status</t>
        </is>
      </c>
      <c r="J27" s="32" t="inlineStr">
        <is>
          <t>note</t>
        </is>
      </c>
    </row>
    <row r="28" ht="20" customHeight="1">
      <c r="A28" s="32" t="inlineStr">
        <is>
          <t>n.underworld</t>
        </is>
      </c>
      <c r="B28" s="31" t="inlineStr">
        <is>
          <t>подземный мир</t>
        </is>
      </c>
      <c r="C28" s="31" t="inlineStr">
        <is>
          <t>underworld-domain</t>
        </is>
      </c>
      <c r="D28" s="31" t="inlineStr">
        <is>
          <t>source_linked</t>
        </is>
      </c>
      <c r="E28" s="31" t="inlineStr">
        <is>
          <t>seg.1.1.1.7</t>
        </is>
      </c>
      <c r="F28" s="31" t="inlineStr">
        <is>
          <t>1,1,1,7</t>
        </is>
      </c>
      <c r="G28" s="31" t="inlineStr">
        <is>
          <t>underworld</t>
        </is>
      </c>
      <c r="H28" s="31" t="inlineStr">
        <is>
          <t>underworld</t>
        </is>
      </c>
      <c r="I28" s="31" t="inlineStr">
        <is>
          <t>new</t>
        </is>
      </c>
      <c r="J28" s="31" t="inlineStr">
        <is>
          <t>адресат света солнца</t>
        </is>
      </c>
    </row>
  </sheetData>
  <dataValidations count="2">
    <dataValidation sqref="D28" showDropDown="0" showInputMessage="0" showErrorMessage="0" allowBlank="1" type="list">
      <formula1>"source_linked,distilled_principle,authored_commentary"</formula1>
    </dataValidation>
    <dataValidation sqref="I28" showDropDown="0" showInputMessage="0" showErrorMessage="0" allowBlank="1" type="list">
      <formula1>"new,reused"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12" customWidth="1" min="4" max="4"/>
    <col width="18" customWidth="1" min="5" max="5"/>
    <col width="18" customWidth="1" min="6" max="6"/>
    <col width="24" customWidth="1" min="7" max="7"/>
    <col width="18" customWidth="1" min="8" max="8"/>
    <col width="18" customWidth="1" min="9" max="9"/>
    <col width="12" customWidth="1" min="10" max="10"/>
    <col width="24" customWidth="1" min="11" max="11"/>
  </cols>
  <sheetData>
    <row r="1" ht="24" customHeight="1">
      <c r="A1" s="28" t="inlineStr">
        <is>
          <t>Схема: event_state_nodes</t>
        </is>
      </c>
    </row>
    <row r="2" ht="20" customHeight="1">
      <c r="A2" s="29" t="inlineStr">
        <is>
          <t>Здесь строка превращается в событие или состояние.</t>
        </is>
      </c>
    </row>
    <row r="4">
      <c r="A4" s="30" t="inlineStr">
        <is>
          <t>Таблица</t>
        </is>
      </c>
      <c r="B4" s="31" t="inlineStr">
        <is>
          <t>event_state_nodes</t>
        </is>
      </c>
    </row>
    <row r="5">
      <c r="A5" s="30" t="inlineStr">
        <is>
          <t>Волна</t>
        </is>
      </c>
      <c r="B5" s="31" t="inlineStr">
        <is>
          <t>фундаментальный</t>
        </is>
      </c>
    </row>
    <row r="6">
      <c r="A6" s="30" t="inlineStr">
        <is>
          <t>Назначение</t>
        </is>
      </c>
      <c r="B6" s="31" t="inlineStr">
        <is>
          <t>удерживать длительность, множественных участников, условность, повторяемость и аналогии</t>
        </is>
      </c>
    </row>
    <row r="7">
      <c r="A7" s="30" t="inlineStr">
        <is>
          <t>Обязательность</t>
        </is>
      </c>
      <c r="B7" s="31" t="inlineStr">
        <is>
          <t>заводить сразу</t>
        </is>
      </c>
    </row>
    <row r="8">
      <c r="A8" s="30" t="inlineStr">
        <is>
          <t>Первичный ключ</t>
        </is>
      </c>
      <c r="B8" s="31" t="inlineStr">
        <is>
          <t>es_id</t>
        </is>
      </c>
    </row>
    <row r="9">
      <c r="A9" s="30" t="inlineStr">
        <is>
          <t>Зависит от</t>
        </is>
      </c>
      <c r="B9" s="31" t="inlineStr">
        <is>
          <t>nodes, segments</t>
        </is>
      </c>
    </row>
    <row r="10">
      <c r="A10" s="30" t="inlineStr">
        <is>
          <t>Когда спавнить</t>
        </is>
      </c>
      <c r="B10" s="31" t="inlineStr">
        <is>
          <t>когда плоская тройка теряет важную структуру</t>
        </is>
      </c>
    </row>
    <row r="11">
      <c r="A11" s="30" t="inlineStr">
        <is>
          <t>Правило заполнения</t>
        </is>
      </c>
      <c r="B11" s="31" t="inlineStr">
        <is>
          <t>создавать event/state node, если у отношения есть время, путь, несколько ролей, повтор, условность или образная функция</t>
        </is>
      </c>
    </row>
    <row r="13">
      <c r="A13" s="33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32" t="inlineStr">
        <is>
          <t>es_id</t>
        </is>
      </c>
      <c r="B15" s="31" t="inlineStr">
        <is>
          <t>да</t>
        </is>
      </c>
      <c r="C15" s="31" t="inlineStr">
        <is>
          <t>string</t>
        </is>
      </c>
      <c r="D15" s="31" t="inlineStr">
        <is>
          <t>id события/состояния</t>
        </is>
      </c>
      <c r="E15" s="31" t="inlineStr">
        <is>
          <t>ev.p7_8.descent_named_as_go_under</t>
        </is>
      </c>
      <c r="F15" s="31" t="inlineStr">
        <is>
          <t>стабильный</t>
        </is>
      </c>
    </row>
    <row r="16">
      <c r="A16" s="32" t="inlineStr">
        <is>
          <t>kind</t>
        </is>
      </c>
      <c r="B16" s="31" t="inlineStr">
        <is>
          <t>да</t>
        </is>
      </c>
      <c r="C16" s="31" t="inlineStr">
        <is>
          <t>enum</t>
        </is>
      </c>
      <c r="D16" s="31" t="inlineStr">
        <is>
          <t>event / state / analogy / composite</t>
        </is>
      </c>
      <c r="E16" s="31" t="inlineStr">
        <is>
          <t>event</t>
        </is>
      </c>
      <c r="F16" s="31" t="inlineStr">
        <is>
          <t>тип узла</t>
        </is>
      </c>
    </row>
    <row r="17">
      <c r="A17" s="32" t="inlineStr">
        <is>
          <t>label_ru</t>
        </is>
      </c>
      <c r="B17" s="31" t="inlineStr">
        <is>
          <t>да</t>
        </is>
      </c>
      <c r="C17" s="31" t="inlineStr">
        <is>
          <t>string</t>
        </is>
      </c>
      <c r="D17" s="31" t="inlineStr">
        <is>
          <t>рабочее имя</t>
        </is>
      </c>
      <c r="E17" s="31" t="inlineStr">
        <is>
          <t>нисхождение, названное untergehen</t>
        </is>
      </c>
      <c r="F17" s="31" t="inlineStr">
        <is>
          <t>коротко и точно</t>
        </is>
      </c>
    </row>
    <row r="18">
      <c r="A18" s="32" t="inlineStr">
        <is>
          <t>anchor_mode</t>
        </is>
      </c>
      <c r="B18" s="31" t="inlineStr">
        <is>
          <t>да</t>
        </is>
      </c>
      <c r="C18" s="31" t="inlineStr">
        <is>
          <t>enum</t>
        </is>
      </c>
      <c r="D18" s="31" t="inlineStr">
        <is>
          <t>single / multi</t>
        </is>
      </c>
      <c r="E18" s="31" t="inlineStr">
        <is>
          <t>multi</t>
        </is>
      </c>
      <c r="F18" s="31" t="inlineStr">
        <is>
          <t>если узел держится на 2+ сегментах</t>
        </is>
      </c>
    </row>
    <row r="19">
      <c r="A19" s="32" t="inlineStr">
        <is>
          <t>anchor_start_secondary</t>
        </is>
      </c>
      <c r="B19" s="31" t="inlineStr">
        <is>
          <t>да</t>
        </is>
      </c>
      <c r="C19" s="31" t="inlineStr">
        <is>
          <t>string</t>
        </is>
      </c>
      <c r="D19" s="31" t="inlineStr">
        <is>
          <t>первый source_secondary</t>
        </is>
      </c>
      <c r="E19" s="31" t="inlineStr">
        <is>
          <t>1,1,1,7</t>
        </is>
      </c>
      <c r="F19" s="31" t="inlineStr">
        <is>
          <t>начало anchor</t>
        </is>
      </c>
    </row>
    <row r="20">
      <c r="A20" s="32" t="inlineStr">
        <is>
          <t>anchor_end_secondary</t>
        </is>
      </c>
      <c r="B20" s="31" t="inlineStr">
        <is>
          <t>нет</t>
        </is>
      </c>
      <c r="C20" s="31" t="inlineStr">
        <is>
          <t>string</t>
        </is>
      </c>
      <c r="D20" s="31" t="inlineStr">
        <is>
          <t>последний source_secondary</t>
        </is>
      </c>
      <c r="E20" s="31" t="inlineStr">
        <is>
          <t>1,1,1,8</t>
        </is>
      </c>
      <c r="F20" s="31" t="inlineStr">
        <is>
          <t>если multi-anchor; для single-anchor оставлять пустым</t>
        </is>
      </c>
    </row>
    <row r="21">
      <c r="A21" s="32" t="inlineStr">
        <is>
          <t>anchor_segment_ids</t>
        </is>
      </c>
      <c r="B21" s="31" t="inlineStr">
        <is>
          <t>да</t>
        </is>
      </c>
      <c r="C21" s="31" t="inlineStr">
        <is>
          <t>string</t>
        </is>
      </c>
      <c r="D21" s="31" t="inlineStr">
        <is>
          <t>shared segment spine диапазона</t>
        </is>
      </c>
      <c r="E21" s="31" t="inlineStr">
        <is>
          <t>seg.1.1.1.7|seg.1.1.1.8</t>
        </is>
      </c>
      <c r="F21" s="31" t="inlineStr">
        <is>
          <t>pipe-list segment ids</t>
        </is>
      </c>
    </row>
    <row r="22">
      <c r="A22" s="32" t="inlineStr">
        <is>
          <t>subject_hint</t>
        </is>
      </c>
      <c r="B22" s="31" t="inlineStr">
        <is>
          <t>нет</t>
        </is>
      </c>
      <c r="C22" s="31" t="inlineStr">
        <is>
          <t>string</t>
        </is>
      </c>
      <c r="D22" s="31" t="inlineStr">
        <is>
          <t>основной участник</t>
        </is>
      </c>
      <c r="E22" s="31" t="inlineStr">
        <is>
          <t>n.zarathustra</t>
        </is>
      </c>
      <c r="F22" s="31" t="inlineStr">
        <is>
          <t>подсказка, не замена edges</t>
        </is>
      </c>
    </row>
    <row r="23">
      <c r="A23" s="32" t="inlineStr">
        <is>
          <t>es_class</t>
        </is>
      </c>
      <c r="B23" s="31" t="inlineStr">
        <is>
          <t>нет</t>
        </is>
      </c>
      <c r="C23" s="31" t="inlineStr">
        <is>
          <t>string</t>
        </is>
      </c>
      <c r="D23" s="31" t="inlineStr">
        <is>
          <t>класс события/состояния</t>
        </is>
      </c>
      <c r="E23" s="31" t="inlineStr">
        <is>
          <t>chosen_descent</t>
        </is>
      </c>
      <c r="F23" s="31" t="inlineStr">
        <is>
          <t>удобно для группировок</t>
        </is>
      </c>
    </row>
    <row r="24">
      <c r="A24" s="32" t="inlineStr">
        <is>
          <t>repeatable</t>
        </is>
      </c>
      <c r="B24" s="31" t="inlineStr">
        <is>
          <t>нет</t>
        </is>
      </c>
      <c r="C24" s="31" t="inlineStr">
        <is>
          <t>boolean</t>
        </is>
      </c>
      <c r="D24" s="31" t="inlineStr">
        <is>
          <t>повторяется ли</t>
        </is>
      </c>
      <c r="E24" s="31" t="inlineStr">
        <is>
          <t>FALSE</t>
        </is>
      </c>
      <c r="F24" s="31" t="inlineStr">
        <is>
          <t>для ритуалов и recurring forms</t>
        </is>
      </c>
    </row>
    <row r="25">
      <c r="A25" s="31" t="inlineStr">
        <is>
          <t>note</t>
        </is>
      </c>
      <c r="B25" s="31" t="inlineStr">
        <is>
          <t>нет</t>
        </is>
      </c>
      <c r="C25" s="31" t="inlineStr">
        <is>
          <t>text</t>
        </is>
      </c>
      <c r="D25" s="31" t="inlineStr">
        <is>
          <t>служебная заметка</t>
        </is>
      </c>
      <c r="E25" s="31" t="inlineStr">
        <is>
          <t>мост между [7] и [8]</t>
        </is>
      </c>
      <c r="F25" s="31" t="inlineStr">
        <is>
          <t>не заменяет principles</t>
        </is>
      </c>
    </row>
    <row r="26">
      <c r="A26" s="7" t="n"/>
    </row>
    <row r="27">
      <c r="A27" s="5" t="inlineStr">
        <is>
          <t>Канонический пример строки</t>
        </is>
      </c>
      <c r="B27" s="5" t="n"/>
      <c r="C27" s="5" t="n"/>
      <c r="D27" s="5" t="n"/>
      <c r="E27" s="5" t="n"/>
      <c r="F27" s="5" t="n"/>
    </row>
    <row r="28" ht="20" customHeight="1">
      <c r="A28" s="32" t="inlineStr">
        <is>
          <t>es_id</t>
        </is>
      </c>
      <c r="B28" s="32" t="inlineStr">
        <is>
          <t>kind</t>
        </is>
      </c>
      <c r="C28" s="32" t="inlineStr">
        <is>
          <t>label_ru</t>
        </is>
      </c>
      <c r="D28" s="32" t="inlineStr">
        <is>
          <t>anchor_mode</t>
        </is>
      </c>
      <c r="E28" s="32" t="inlineStr">
        <is>
          <t>anchor_start_secondary</t>
        </is>
      </c>
      <c r="F28" s="32" t="inlineStr">
        <is>
          <t>anchor_end_secondary</t>
        </is>
      </c>
      <c r="G28" s="32" t="inlineStr">
        <is>
          <t>anchor_segment_ids</t>
        </is>
      </c>
      <c r="H28" s="32" t="inlineStr">
        <is>
          <t>subject_hint</t>
        </is>
      </c>
      <c r="I28" s="32" t="inlineStr">
        <is>
          <t>es_class</t>
        </is>
      </c>
      <c r="J28" s="32" t="inlineStr">
        <is>
          <t>repeatable</t>
        </is>
      </c>
      <c r="K28" s="32" t="inlineStr">
        <is>
          <t>note</t>
        </is>
      </c>
    </row>
    <row r="29" ht="20" customHeight="1">
      <c r="A29" s="32" t="inlineStr">
        <is>
          <t>ev.p7_8.descent_named_as_go_under</t>
        </is>
      </c>
      <c r="B29" s="31" t="inlineStr">
        <is>
          <t>event</t>
        </is>
      </c>
      <c r="C29" s="31" t="inlineStr">
        <is>
          <t>нисхождение, названное untergehen</t>
        </is>
      </c>
      <c r="D29" s="31" t="inlineStr">
        <is>
          <t>multi</t>
        </is>
      </c>
      <c r="E29" s="31" t="inlineStr">
        <is>
          <t>1,1,1,7</t>
        </is>
      </c>
      <c r="F29" s="31" t="inlineStr">
        <is>
          <t>1,1,1,8</t>
        </is>
      </c>
      <c r="G29" s="31" t="inlineStr">
        <is>
          <t>seg.1.1.1.7|seg.1.1.1.8</t>
        </is>
      </c>
      <c r="H29" s="31" t="inlineStr">
        <is>
          <t>n.zarathustra</t>
        </is>
      </c>
      <c r="I29" s="31" t="inlineStr">
        <is>
          <t>chosen_descent</t>
        </is>
      </c>
      <c r="J29" s="31" t="b">
        <v>0</v>
      </c>
      <c r="K29" s="31" t="inlineStr">
        <is>
          <t>мост между [7] и [8]</t>
        </is>
      </c>
    </row>
  </sheetData>
  <dataValidations count="3">
    <dataValidation sqref="B29" showDropDown="0" showInputMessage="0" showErrorMessage="0" allowBlank="1" type="list">
      <formula1>"event,state,analogy,composite"</formula1>
    </dataValidation>
    <dataValidation sqref="D29" showDropDown="0" showInputMessage="0" showErrorMessage="0" allowBlank="1" type="list">
      <formula1>"single,multi"</formula1>
    </dataValidation>
    <dataValidation sqref="J29" showDropDown="0" showInputMessage="0" showErrorMessage="0" allowBlank="1" type="list">
      <formula1>"TRUE,FALSE"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0" customWidth="1" min="4" max="4"/>
    <col width="18" customWidth="1" min="5" max="5"/>
    <col width="20" customWidth="1" min="6" max="6"/>
    <col width="12" customWidth="1" min="7" max="7"/>
    <col width="18" customWidth="1" min="8" max="8"/>
    <col width="18" customWidth="1" min="9" max="9"/>
    <col width="18" customWidth="1" min="10" max="10"/>
    <col width="16" customWidth="1" min="11" max="11"/>
    <col width="18" customWidth="1" min="12" max="12"/>
    <col width="12" customWidth="1" min="13" max="13"/>
    <col width="26" customWidth="1" min="14" max="14"/>
  </cols>
  <sheetData>
    <row r="1" ht="24" customHeight="1">
      <c r="A1" s="28" t="inlineStr">
        <is>
          <t>Схема: edges</t>
        </is>
      </c>
    </row>
    <row r="2" ht="20" customHeight="1">
      <c r="A2" s="29" t="inlineStr">
        <is>
          <t>Нормализованные связи между узлами, событиями, состояниями и principles.</t>
        </is>
      </c>
    </row>
    <row r="4">
      <c r="A4" s="30" t="inlineStr">
        <is>
          <t>Таблица</t>
        </is>
      </c>
      <c r="B4" s="31" t="inlineStr">
        <is>
          <t>edges</t>
        </is>
      </c>
    </row>
    <row r="5">
      <c r="A5" s="30" t="inlineStr">
        <is>
          <t>Волна</t>
        </is>
      </c>
      <c r="B5" s="31" t="inlineStr">
        <is>
          <t>фундаментальный</t>
        </is>
      </c>
    </row>
    <row r="6">
      <c r="A6" s="30" t="inlineStr">
        <is>
          <t>Назначение</t>
        </is>
      </c>
      <c r="B6" s="31" t="inlineStr">
        <is>
          <t>собрать графовую ткань из минимальных relations</t>
        </is>
      </c>
    </row>
    <row r="7">
      <c r="A7" s="30" t="inlineStr">
        <is>
          <t>Обязательность</t>
        </is>
      </c>
      <c r="B7" s="31" t="inlineStr">
        <is>
          <t>заводить сразу</t>
        </is>
      </c>
    </row>
    <row r="8">
      <c r="A8" s="30" t="inlineStr">
        <is>
          <t>Первичный ключ</t>
        </is>
      </c>
      <c r="B8" s="31" t="inlineStr">
        <is>
          <t>edge_id</t>
        </is>
      </c>
    </row>
    <row r="9">
      <c r="A9" s="30" t="inlineStr">
        <is>
          <t>Зависит от</t>
        </is>
      </c>
      <c r="B9" s="31" t="inlineStr">
        <is>
          <t>nodes, event_state_nodes и principles</t>
        </is>
      </c>
    </row>
    <row r="10">
      <c r="A10" s="30" t="inlineStr">
        <is>
          <t>Когда спавнить</t>
        </is>
      </c>
      <c r="B10" s="31" t="inlineStr">
        <is>
          <t>новая строка на каждую устойчивую relation</t>
        </is>
      </c>
    </row>
    <row r="11">
      <c r="A11" s="30" t="inlineStr">
        <is>
          <t>Правило заполнения</t>
        </is>
      </c>
      <c r="B11" s="31" t="inlineStr">
        <is>
          <t>не хранить в одной строке два разных утверждения; complex logic выносить в event/state/principle nodes</t>
        </is>
      </c>
    </row>
    <row r="13">
      <c r="A13" s="33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32" t="inlineStr">
        <is>
          <t>edge_id</t>
        </is>
      </c>
      <c r="B15" s="31" t="inlineStr">
        <is>
          <t>да</t>
        </is>
      </c>
      <c r="C15" s="31" t="inlineStr">
        <is>
          <t>string</t>
        </is>
      </c>
      <c r="D15" s="31" t="inlineStr">
        <is>
          <t>id связи</t>
        </is>
      </c>
      <c r="E15" s="31" t="inlineStr">
        <is>
          <t>e63</t>
        </is>
      </c>
      <c r="F15" s="31" t="inlineStr">
        <is>
          <t>стабилен внутри проекта</t>
        </is>
      </c>
    </row>
    <row r="16">
      <c r="A16" s="32" t="inlineStr">
        <is>
          <t>edge_kind</t>
        </is>
      </c>
      <c r="B16" s="31" t="inlineStr">
        <is>
          <t>да</t>
        </is>
      </c>
      <c r="C16" s="31" t="inlineStr">
        <is>
          <t>enum</t>
        </is>
      </c>
      <c r="D16" s="31" t="inlineStr">
        <is>
          <t>source_edge / bridge_edge / principle_edge</t>
        </is>
      </c>
      <c r="E16" s="31" t="inlineStr">
        <is>
          <t>source_edge</t>
        </is>
      </c>
      <c r="F16" s="31" t="inlineStr">
        <is>
          <t>row-kind relation</t>
        </is>
      </c>
    </row>
    <row r="17">
      <c r="A17" s="32" t="inlineStr">
        <is>
          <t>from_id</t>
        </is>
      </c>
      <c r="B17" s="31" t="inlineStr">
        <is>
          <t>да</t>
        </is>
      </c>
      <c r="C17" s="31" t="inlineStr">
        <is>
          <t>string</t>
        </is>
      </c>
      <c r="D17" s="31" t="inlineStr">
        <is>
          <t>исходный id</t>
        </is>
      </c>
      <c r="E17" s="31" t="inlineStr">
        <is>
          <t>n.humans</t>
        </is>
      </c>
      <c r="F17" s="31" t="inlineStr">
        <is>
          <t>node_id / es_id / principle_id</t>
        </is>
      </c>
    </row>
    <row r="18">
      <c r="A18" s="32" t="inlineStr">
        <is>
          <t>predicate_id</t>
        </is>
      </c>
      <c r="B18" s="31" t="inlineStr">
        <is>
          <t>да</t>
        </is>
      </c>
      <c r="C18" s="31" t="inlineStr">
        <is>
          <t>string</t>
        </is>
      </c>
      <c r="D18" s="31" t="inlineStr">
        <is>
          <t>нормализованный предикат</t>
        </is>
      </c>
      <c r="E18" s="31" t="inlineStr">
        <is>
          <t>names_descent_as</t>
        </is>
      </c>
      <c r="F18" s="31" t="inlineStr">
        <is>
          <t>не языковая поверхность</t>
        </is>
      </c>
    </row>
    <row r="19">
      <c r="A19" s="32" t="inlineStr">
        <is>
          <t>to_id</t>
        </is>
      </c>
      <c r="B19" s="31" t="inlineStr">
        <is>
          <t>да</t>
        </is>
      </c>
      <c r="C19" s="31" t="inlineStr">
        <is>
          <t>string</t>
        </is>
      </c>
      <c r="D19" s="31" t="inlineStr">
        <is>
          <t>целевой id</t>
        </is>
      </c>
      <c r="E19" s="31" t="inlineStr">
        <is>
          <t>n.go_under</t>
        </is>
      </c>
      <c r="F19" s="31" t="inlineStr">
        <is>
          <t>node_id / es_id / principle_id</t>
        </is>
      </c>
    </row>
    <row r="20">
      <c r="A20" s="32" t="inlineStr">
        <is>
          <t>layer</t>
        </is>
      </c>
      <c r="B20" s="31" t="inlineStr">
        <is>
          <t>да</t>
        </is>
      </c>
      <c r="C20" s="31" t="inlineStr">
        <is>
          <t>enum</t>
        </is>
      </c>
      <c r="D20" s="31" t="inlineStr">
        <is>
          <t>source_linked / distilled_principle / authored_commentary</t>
        </is>
      </c>
      <c r="E20" s="31" t="inlineStr">
        <is>
          <t>source_linked</t>
        </is>
      </c>
      <c r="F20" s="31" t="inlineStr">
        <is>
          <t>режим утверждения</t>
        </is>
      </c>
    </row>
    <row r="21">
      <c r="A21" s="32" t="inlineStr">
        <is>
          <t>anchor_mode</t>
        </is>
      </c>
      <c r="B21" s="31" t="inlineStr">
        <is>
          <t>да</t>
        </is>
      </c>
      <c r="C21" s="31" t="inlineStr">
        <is>
          <t>enum</t>
        </is>
      </c>
      <c r="D21" s="31" t="inlineStr">
        <is>
          <t>single / multi</t>
        </is>
      </c>
      <c r="E21" s="31" t="inlineStr">
        <is>
          <t>single</t>
        </is>
      </c>
      <c r="F21" s="31" t="inlineStr">
        <is>
          <t>единый anchor contract</t>
        </is>
      </c>
    </row>
    <row r="22">
      <c r="A22" s="32" t="inlineStr">
        <is>
          <t>anchor_start_secondary</t>
        </is>
      </c>
      <c r="B22" s="31" t="inlineStr">
        <is>
          <t>да</t>
        </is>
      </c>
      <c r="C22" s="31" t="inlineStr">
        <is>
          <t>string</t>
        </is>
      </c>
      <c r="D22" s="31" t="inlineStr">
        <is>
          <t>начало привязки к месту</t>
        </is>
      </c>
      <c r="E22" s="31" t="inlineStr">
        <is>
          <t>1,1,1,8</t>
        </is>
      </c>
      <c r="F22" s="31" t="inlineStr">
        <is>
          <t>минимальный anchor</t>
        </is>
      </c>
    </row>
    <row r="23">
      <c r="A23" s="32" t="inlineStr">
        <is>
          <t>anchor_end_secondary</t>
        </is>
      </c>
      <c r="B23" s="31" t="inlineStr">
        <is>
          <t>нет</t>
        </is>
      </c>
      <c r="C23" s="31" t="inlineStr">
        <is>
          <t>string</t>
        </is>
      </c>
      <c r="D23" s="31" t="inlineStr">
        <is>
          <t>конец привязки</t>
        </is>
      </c>
      <c r="E23" s="31" t="inlineStr">
        <is>
          <t>1,1,1,8</t>
        </is>
      </c>
      <c r="F23" s="31" t="inlineStr">
        <is>
          <t>для multi-anchor; для single-anchor оставлять пустым</t>
        </is>
      </c>
    </row>
    <row r="24">
      <c r="A24" s="32" t="inlineStr">
        <is>
          <t>anchor_segment_ids</t>
        </is>
      </c>
      <c r="B24" s="31" t="inlineStr">
        <is>
          <t>да</t>
        </is>
      </c>
      <c r="C24" s="31" t="inlineStr">
        <is>
          <t>string</t>
        </is>
      </c>
      <c r="D24" s="31" t="inlineStr">
        <is>
          <t>привязка к spine сегментов</t>
        </is>
      </c>
      <c r="E24" s="31" t="inlineStr">
        <is>
          <t>seg.1.1.1.8</t>
        </is>
      </c>
      <c r="F24" s="31" t="inlineStr">
        <is>
          <t>single value тоже здесь</t>
        </is>
      </c>
    </row>
    <row r="25">
      <c r="A25" s="31" t="inlineStr">
        <is>
          <t>witness_scope</t>
        </is>
      </c>
      <c r="B25" s="31" t="inlineStr">
        <is>
          <t>нет</t>
        </is>
      </c>
      <c r="C25" s="31" t="inlineStr">
        <is>
          <t>string</t>
        </is>
      </c>
      <c r="D25" s="31" t="inlineStr">
        <is>
          <t>какие witness-слои подтверждают</t>
        </is>
      </c>
      <c r="E25" s="31" t="inlineStr">
        <is>
          <t>de+ru+en</t>
        </is>
      </c>
      <c r="F25" s="31" t="inlineStr">
        <is>
          <t>или конкретный witness</t>
        </is>
      </c>
    </row>
    <row r="26">
      <c r="A26" s="33" t="inlineStr">
        <is>
          <t>connectivity_role</t>
        </is>
      </c>
      <c r="B26" s="31" t="inlineStr">
        <is>
          <t>нет</t>
        </is>
      </c>
      <c r="C26" s="31" t="inlineStr">
        <is>
          <t>string</t>
        </is>
      </c>
      <c r="D26" s="31" t="inlineStr">
        <is>
          <t>роль в reasoning-ткани</t>
        </is>
      </c>
      <c r="E26" s="31" t="inlineStr">
        <is>
          <t>local_chain</t>
        </is>
      </c>
      <c r="F26" s="31" t="inlineStr">
        <is>
          <t>local_chain / reasoning_bridge / principle_support / symbolic_support / multi_anchor</t>
        </is>
      </c>
    </row>
    <row r="27">
      <c r="A27" s="5" t="inlineStr">
        <is>
          <t>confidence</t>
        </is>
      </c>
      <c r="B27" s="5" t="inlineStr">
        <is>
          <t>нет</t>
        </is>
      </c>
      <c r="C27" s="5" t="inlineStr">
        <is>
          <t>decimal</t>
        </is>
      </c>
      <c r="D27" s="5" t="inlineStr">
        <is>
          <t>уверенность в extraction</t>
        </is>
      </c>
      <c r="E27" s="5" t="inlineStr">
        <is>
          <t>1.0</t>
        </is>
      </c>
      <c r="F27" s="5" t="inlineStr">
        <is>
          <t>если понадобится</t>
        </is>
      </c>
      <c r="G27" s="5" t="n"/>
    </row>
    <row r="28">
      <c r="A28" s="32" t="inlineStr">
        <is>
          <t>note</t>
        </is>
      </c>
      <c r="B28" s="31" t="inlineStr">
        <is>
          <t>нет</t>
        </is>
      </c>
      <c r="C28" s="31" t="inlineStr">
        <is>
          <t>text</t>
        </is>
      </c>
      <c r="D28" s="31" t="inlineStr">
        <is>
          <t>служебная помета</t>
        </is>
      </c>
      <c r="E28" s="31" t="inlineStr">
        <is>
          <t>люди дают имя нисхождению</t>
        </is>
      </c>
      <c r="F28" s="31" t="inlineStr">
        <is>
          <t>без инфляции</t>
        </is>
      </c>
      <c r="G28" s="4" t="n"/>
    </row>
    <row r="30">
      <c r="A30" s="33" t="inlineStr">
        <is>
          <t>Канонический пример строки</t>
        </is>
      </c>
    </row>
    <row r="31" ht="20" customHeight="1">
      <c r="A31" s="5" t="inlineStr">
        <is>
          <t>edge_id</t>
        </is>
      </c>
      <c r="B31" s="5" t="inlineStr">
        <is>
          <t>edge_kind</t>
        </is>
      </c>
      <c r="C31" s="5" t="inlineStr">
        <is>
          <t>from_id</t>
        </is>
      </c>
      <c r="D31" s="5" t="inlineStr">
        <is>
          <t>predicate_id</t>
        </is>
      </c>
      <c r="E31" s="5" t="inlineStr">
        <is>
          <t>to_id</t>
        </is>
      </c>
      <c r="F31" s="5" t="inlineStr">
        <is>
          <t>layer</t>
        </is>
      </c>
      <c r="G31" s="5" t="inlineStr">
        <is>
          <t>anchor_mode</t>
        </is>
      </c>
      <c r="H31" s="5" t="inlineStr">
        <is>
          <t>anchor_start_secondary</t>
        </is>
      </c>
      <c r="I31" s="5" t="inlineStr">
        <is>
          <t>anchor_end_secondary</t>
        </is>
      </c>
      <c r="J31" s="5" t="inlineStr">
        <is>
          <t>anchor_segment_ids</t>
        </is>
      </c>
      <c r="K31" s="5" t="inlineStr">
        <is>
          <t>witness_scope</t>
        </is>
      </c>
      <c r="L31" s="5" t="inlineStr">
        <is>
          <t>connectivity_role</t>
        </is>
      </c>
      <c r="M31" s="5" t="inlineStr">
        <is>
          <t>confidence</t>
        </is>
      </c>
      <c r="N31" s="5" t="inlineStr">
        <is>
          <t>note</t>
        </is>
      </c>
    </row>
    <row r="32" ht="20" customHeight="1">
      <c r="A32" s="32" t="inlineStr">
        <is>
          <t>e63</t>
        </is>
      </c>
      <c r="B32" s="31" t="inlineStr">
        <is>
          <t>source_edge</t>
        </is>
      </c>
      <c r="C32" s="31" t="inlineStr">
        <is>
          <t>n.humans</t>
        </is>
      </c>
      <c r="D32" s="31" t="inlineStr">
        <is>
          <t>names_descent_as</t>
        </is>
      </c>
      <c r="E32" s="31" t="inlineStr">
        <is>
          <t>n.go_under</t>
        </is>
      </c>
      <c r="F32" s="31" t="inlineStr">
        <is>
          <t>source_linked</t>
        </is>
      </c>
      <c r="G32" s="31" t="inlineStr">
        <is>
          <t>single</t>
        </is>
      </c>
      <c r="H32" s="31" t="inlineStr">
        <is>
          <t>1,1,1,8</t>
        </is>
      </c>
      <c r="I32" s="31" t="inlineStr"/>
      <c r="J32" s="31" t="inlineStr">
        <is>
          <t>seg.1.1.1.8</t>
        </is>
      </c>
      <c r="K32" s="31" t="inlineStr">
        <is>
          <t>de+ru+en</t>
        </is>
      </c>
      <c r="L32" s="31" t="inlineStr">
        <is>
          <t>local_chain</t>
        </is>
      </c>
      <c r="M32" s="31" t="n">
        <v>1</v>
      </c>
      <c r="N32" s="31" t="inlineStr">
        <is>
          <t>люди дают имя нисхождению</t>
        </is>
      </c>
    </row>
  </sheetData>
  <dataValidations count="3">
    <dataValidation sqref="B32" showDropDown="0" showInputMessage="0" showErrorMessage="0" allowBlank="1" type="list">
      <formula1>"source_edge,bridge_edge,principle_edge"</formula1>
    </dataValidation>
    <dataValidation sqref="F32" showDropDown="0" showInputMessage="0" showErrorMessage="0" allowBlank="1" type="list">
      <formula1>"source_linked,distilled_principle,authored_commentary"</formula1>
    </dataValidation>
    <dataValidation sqref="G32" showDropDown="0" showInputMessage="0" showErrorMessage="0" allowBlank="1" type="list">
      <formula1>"single,multi"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8" customWidth="1" min="4" max="4"/>
    <col width="18" customWidth="1" min="5" max="5"/>
    <col width="24" customWidth="1" min="6" max="6"/>
    <col width="30" customWidth="1" min="7" max="7"/>
    <col width="28" customWidth="1" min="8" max="8"/>
    <col width="14" customWidth="1" min="9" max="9"/>
    <col width="24" customWidth="1" min="10" max="10"/>
    <col width="24" customWidth="1" min="11" max="11"/>
  </cols>
  <sheetData>
    <row r="1" ht="24" customHeight="1">
      <c r="A1" s="28" t="inlineStr">
        <is>
          <t>Схема: translation_tensions</t>
        </is>
      </c>
    </row>
    <row r="2" ht="20" customHeight="1">
      <c r="A2" s="29" t="inlineStr">
        <is>
          <t>Только philosophically load-bearing drift clusters.</t>
        </is>
      </c>
    </row>
    <row r="4">
      <c r="A4" s="30" t="inlineStr">
        <is>
          <t>Таблица</t>
        </is>
      </c>
      <c r="B4" s="31" t="inlineStr">
        <is>
          <t>translation_tensions</t>
        </is>
      </c>
    </row>
    <row r="5">
      <c r="A5" s="30" t="inlineStr">
        <is>
          <t>Волна</t>
        </is>
      </c>
      <c r="B5" s="31" t="inlineStr">
        <is>
          <t>фундаментальный+</t>
        </is>
      </c>
    </row>
    <row r="6">
      <c r="A6" s="30" t="inlineStr">
        <is>
          <t>Назначение</t>
        </is>
      </c>
      <c r="B6" s="31" t="inlineStr">
        <is>
          <t>фиксировать места, где drift между witness-слоями реально меняет вес мысли</t>
        </is>
      </c>
    </row>
    <row r="7">
      <c r="A7" s="30" t="inlineStr">
        <is>
          <t>Обязательность</t>
        </is>
      </c>
      <c r="B7" s="31" t="inlineStr">
        <is>
          <t>заводить сразу, но скупо</t>
        </is>
      </c>
    </row>
    <row r="8">
      <c r="A8" s="30" t="inlineStr">
        <is>
          <t>Первичный ключ</t>
        </is>
      </c>
      <c r="B8" s="31" t="inlineStr">
        <is>
          <t>tension_id</t>
        </is>
      </c>
    </row>
    <row r="9">
      <c r="A9" s="30" t="inlineStr">
        <is>
          <t>Зависит от</t>
        </is>
      </c>
      <c r="B9" s="31" t="inlineStr">
        <is>
          <t>segments, witnesses, witness_glosses</t>
        </is>
      </c>
    </row>
    <row r="10">
      <c r="A10" s="30" t="inlineStr">
        <is>
          <t>Когда спавнить</t>
        </is>
      </c>
      <c r="B10" s="31" t="inlineStr">
        <is>
          <t>когда drift нельзя честно спрятать в обычную нормализацию</t>
        </is>
      </c>
    </row>
    <row r="11">
      <c r="A11" s="30" t="inlineStr">
        <is>
          <t>Правило заполнения</t>
        </is>
      </c>
      <c r="B11" s="31" t="inlineStr">
        <is>
          <t>не превращать в склад всех различий; только нагрузочные швы</t>
        </is>
      </c>
    </row>
    <row r="13">
      <c r="A13" s="33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32" t="inlineStr">
        <is>
          <t>tension_id</t>
        </is>
      </c>
      <c r="B15" s="31" t="inlineStr">
        <is>
          <t>да</t>
        </is>
      </c>
      <c r="C15" s="31" t="inlineStr">
        <is>
          <t>string</t>
        </is>
      </c>
      <c r="D15" s="31" t="inlineStr">
        <is>
          <t>id tension-а</t>
        </is>
      </c>
      <c r="E15" s="31" t="inlineStr">
        <is>
          <t>tt.untergehen</t>
        </is>
      </c>
      <c r="F15" s="31" t="inlineStr">
        <is>
          <t>стабилен</t>
        </is>
      </c>
    </row>
    <row r="16">
      <c r="A16" s="32" t="inlineStr">
        <is>
          <t>normalized_core</t>
        </is>
      </c>
      <c r="B16" s="31" t="inlineStr">
        <is>
          <t>да</t>
        </is>
      </c>
      <c r="C16" s="31" t="inlineStr">
        <is>
          <t>string</t>
        </is>
      </c>
      <c r="D16" s="31" t="inlineStr">
        <is>
          <t>какое ядро tension держит</t>
        </is>
      </c>
      <c r="E16" s="31" t="inlineStr">
        <is>
          <t>go_under</t>
        </is>
      </c>
      <c r="F16" s="31" t="inlineStr">
        <is>
          <t>не wide bundle surface-ов</t>
        </is>
      </c>
    </row>
    <row r="17">
      <c r="A17" s="32" t="inlineStr">
        <is>
          <t>anchor_mode</t>
        </is>
      </c>
      <c r="B17" s="31" t="inlineStr">
        <is>
          <t>да</t>
        </is>
      </c>
      <c r="C17" s="31" t="inlineStr">
        <is>
          <t>enum</t>
        </is>
      </c>
      <c r="D17" s="31" t="inlineStr">
        <is>
          <t>single / multi</t>
        </is>
      </c>
      <c r="E17" s="31" t="inlineStr">
        <is>
          <t>multi</t>
        </is>
      </c>
      <c r="F17" s="31" t="inlineStr">
        <is>
          <t>единый anchor contract</t>
        </is>
      </c>
    </row>
    <row r="18">
      <c r="A18" s="32" t="inlineStr">
        <is>
          <t>anchor_start_secondary</t>
        </is>
      </c>
      <c r="B18" s="31" t="inlineStr">
        <is>
          <t>да</t>
        </is>
      </c>
      <c r="C18" s="31" t="inlineStr">
        <is>
          <t>string</t>
        </is>
      </c>
      <c r="D18" s="31" t="inlineStr">
        <is>
          <t>первый адрес tension-а</t>
        </is>
      </c>
      <c r="E18" s="31" t="inlineStr">
        <is>
          <t>1,1,1,7</t>
        </is>
      </c>
      <c r="F18" s="31" t="inlineStr">
        <is>
          <t>начало диапазона</t>
        </is>
      </c>
    </row>
    <row r="19">
      <c r="A19" s="32" t="inlineStr">
        <is>
          <t>anchor_end_secondary</t>
        </is>
      </c>
      <c r="B19" s="31" t="inlineStr">
        <is>
          <t>нет</t>
        </is>
      </c>
      <c r="C19" s="31" t="inlineStr">
        <is>
          <t>string</t>
        </is>
      </c>
      <c r="D19" s="31" t="inlineStr">
        <is>
          <t>последний адрес tension-а</t>
        </is>
      </c>
      <c r="E19" s="31" t="inlineStr">
        <is>
          <t>1,1,1,8</t>
        </is>
      </c>
      <c r="F19" s="31" t="inlineStr">
        <is>
          <t>если multi-anchor; для single-anchor оставлять пустым</t>
        </is>
      </c>
    </row>
    <row r="20">
      <c r="A20" s="32" t="inlineStr">
        <is>
          <t>anchor_segment_ids</t>
        </is>
      </c>
      <c r="B20" s="31" t="inlineStr">
        <is>
          <t>да</t>
        </is>
      </c>
      <c r="C20" s="31" t="inlineStr">
        <is>
          <t>string</t>
        </is>
      </c>
      <c r="D20" s="31" t="inlineStr">
        <is>
          <t>segment spine tension-а</t>
        </is>
      </c>
      <c r="E20" s="31" t="inlineStr">
        <is>
          <t>seg.1.1.1.7|seg.1.1.1.8</t>
        </is>
      </c>
      <c r="F20" s="31" t="inlineStr">
        <is>
          <t>pipe-list segment ids</t>
        </is>
      </c>
    </row>
    <row r="21">
      <c r="A21" s="32" t="inlineStr">
        <is>
          <t>witness_ids</t>
        </is>
      </c>
      <c r="B21" s="31" t="inlineStr">
        <is>
          <t>нет</t>
        </is>
      </c>
      <c r="C21" s="31" t="inlineStr">
        <is>
          <t>string</t>
        </is>
      </c>
      <c r="D21" s="31" t="inlineStr">
        <is>
          <t>какие witness участвуют в tension-е</t>
        </is>
      </c>
      <c r="E21" s="31" t="inlineStr">
        <is>
          <t>w.de...|w.ru...|w.en...</t>
        </is>
      </c>
      <c r="F21" s="31" t="inlineStr">
        <is>
          <t>если нужно явное перечисление</t>
        </is>
      </c>
    </row>
    <row r="22">
      <c r="A22" s="32" t="inlineStr">
        <is>
          <t>why_load_bearing</t>
        </is>
      </c>
      <c r="B22" s="31" t="inlineStr">
        <is>
          <t>да</t>
        </is>
      </c>
      <c r="C22" s="31" t="inlineStr">
        <is>
          <t>text</t>
        </is>
      </c>
      <c r="D22" s="31" t="inlineStr">
        <is>
          <t>почему это важно</t>
        </is>
      </c>
      <c r="E22" s="31" t="inlineStr">
        <is>
          <t>человеческое имя нисхождения, не поражение</t>
        </is>
      </c>
      <c r="F22" s="31" t="inlineStr">
        <is>
          <t>обязательно объяснить</t>
        </is>
      </c>
    </row>
    <row r="23">
      <c r="A23" s="32" t="inlineStr">
        <is>
          <t>decision_status</t>
        </is>
      </c>
      <c r="B23" s="31" t="inlineStr">
        <is>
          <t>нет</t>
        </is>
      </c>
      <c r="C23" s="31" t="inlineStr">
        <is>
          <t>enum</t>
        </is>
      </c>
      <c r="D23" s="31" t="inlineStr">
        <is>
          <t>open / bounded / stabilized</t>
        </is>
      </c>
      <c r="E23" s="31" t="inlineStr">
        <is>
          <t>bounded</t>
        </is>
      </c>
      <c r="F23" s="31" t="inlineStr">
        <is>
          <t>степень фиксации</t>
        </is>
      </c>
    </row>
    <row r="24">
      <c r="A24" s="32" t="inlineStr">
        <is>
          <t>preferred_handling</t>
        </is>
      </c>
      <c r="B24" s="31" t="inlineStr">
        <is>
          <t>нет</t>
        </is>
      </c>
      <c r="C24" s="31" t="inlineStr">
        <is>
          <t>text</t>
        </is>
      </c>
      <c r="D24" s="31" t="inlineStr">
        <is>
          <t>как обращаться с drift</t>
        </is>
      </c>
      <c r="E24" s="31" t="inlineStr">
        <is>
          <t>держать tension видимым</t>
        </is>
      </c>
      <c r="F24" s="31" t="inlineStr">
        <is>
          <t>рабочее решение</t>
        </is>
      </c>
    </row>
    <row r="25">
      <c r="A25" s="31" t="inlineStr">
        <is>
          <t>note</t>
        </is>
      </c>
      <c r="B25" s="31" t="inlineStr">
        <is>
          <t>нет</t>
        </is>
      </c>
      <c r="C25" s="31" t="inlineStr">
        <is>
          <t>text</t>
        </is>
      </c>
      <c r="D25" s="31" t="inlineStr">
        <is>
          <t>служебная помета</t>
        </is>
      </c>
      <c r="E25" s="31" t="inlineStr">
        <is>
          <t>surface rows живут в glosses</t>
        </is>
      </c>
      <c r="F25" s="31" t="inlineStr">
        <is>
          <t>не дублировать wide bundle</t>
        </is>
      </c>
    </row>
    <row r="26">
      <c r="A26" s="33" t="inlineStr">
        <is>
          <t>Канонический пример строки</t>
        </is>
      </c>
    </row>
    <row r="27" ht="20" customHeight="1">
      <c r="A27" s="5" t="inlineStr">
        <is>
          <t>tension_id</t>
        </is>
      </c>
      <c r="B27" s="5" t="inlineStr">
        <is>
          <t>normalized_core</t>
        </is>
      </c>
      <c r="C27" s="5" t="inlineStr">
        <is>
          <t>anchor_mode</t>
        </is>
      </c>
      <c r="D27" s="5" t="inlineStr">
        <is>
          <t>anchor_start_secondary</t>
        </is>
      </c>
      <c r="E27" s="5" t="inlineStr">
        <is>
          <t>anchor_end_secondary</t>
        </is>
      </c>
      <c r="F27" s="5" t="inlineStr">
        <is>
          <t>anchor_segment_ids</t>
        </is>
      </c>
      <c r="G27" s="5" t="inlineStr">
        <is>
          <t>witness_ids</t>
        </is>
      </c>
      <c r="H27" s="5" t="inlineStr">
        <is>
          <t>why_load_bearing</t>
        </is>
      </c>
      <c r="I27" s="5" t="inlineStr">
        <is>
          <t>decision_status</t>
        </is>
      </c>
      <c r="J27" s="5" t="inlineStr">
        <is>
          <t>preferred_handling</t>
        </is>
      </c>
      <c r="K27" s="5" t="inlineStr">
        <is>
          <t>note</t>
        </is>
      </c>
    </row>
    <row r="28" ht="20" customHeight="1">
      <c r="A28" s="32" t="inlineStr">
        <is>
          <t>tt.untergehen</t>
        </is>
      </c>
      <c r="B28" s="31" t="inlineStr">
        <is>
          <t>go_under</t>
        </is>
      </c>
      <c r="C28" s="31" t="inlineStr">
        <is>
          <t>multi</t>
        </is>
      </c>
      <c r="D28" s="31" t="inlineStr">
        <is>
          <t>1,1,1,7</t>
        </is>
      </c>
      <c r="E28" s="31" t="inlineStr">
        <is>
          <t>1,1,1,8</t>
        </is>
      </c>
      <c r="F28" s="31" t="inlineStr">
        <is>
          <t>seg.1.1.1.7|seg.1.1.1.8</t>
        </is>
      </c>
      <c r="G28" s="31" t="inlineStr">
        <is>
          <t>w.de.nietzsche.1883.facsimile|w.ru.dionysus.translation.v1|w.en.bridge.translation.v1</t>
        </is>
      </c>
      <c r="H28" s="31" t="inlineStr">
        <is>
          <t>узловой термин нисхождения и его людского имени</t>
        </is>
      </c>
      <c r="I28" s="31" t="inlineStr">
        <is>
          <t>bounded</t>
        </is>
      </c>
      <c r="J28" s="31" t="inlineStr">
        <is>
          <t>держать tension видимым</t>
        </is>
      </c>
      <c r="K28" s="31" t="inlineStr">
        <is>
          <t>surface rows живут в glosses</t>
        </is>
      </c>
    </row>
  </sheetData>
  <dataValidations count="2">
    <dataValidation sqref="C28" showDropDown="0" showInputMessage="0" showErrorMessage="0" allowBlank="1" type="list">
      <formula1>"single,multi"</formula1>
    </dataValidation>
    <dataValidation sqref="I28" showDropDown="0" showInputMessage="0" showErrorMessage="0" allowBlank="1" type="list">
      <formula1>"open,bounded,stabilized"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6" customWidth="1" min="4" max="4"/>
    <col width="20" customWidth="1" min="5" max="5"/>
    <col width="18" customWidth="1" min="6" max="6"/>
    <col width="18" customWidth="1" min="7" max="7"/>
    <col width="24" customWidth="1" min="8" max="8"/>
    <col width="12" customWidth="1" min="9" max="9"/>
    <col width="18" customWidth="1" min="10" max="10"/>
    <col width="18" customWidth="1" min="11" max="11"/>
  </cols>
  <sheetData>
    <row r="1" ht="24" customHeight="1">
      <c r="A1" s="28" t="inlineStr">
        <is>
          <t>Схема: witness_glosses</t>
        </is>
      </c>
    </row>
    <row r="2" ht="20" customHeight="1">
      <c r="A2" s="29" t="inlineStr">
        <is>
          <t>Witness-specific long-model слой для лексической поверхности.</t>
        </is>
      </c>
    </row>
    <row r="4">
      <c r="A4" s="30" t="inlineStr">
        <is>
          <t>Таблица</t>
        </is>
      </c>
      <c r="B4" s="31" t="inlineStr">
        <is>
          <t>witness_glosses</t>
        </is>
      </c>
    </row>
    <row r="5">
      <c r="A5" s="30" t="inlineStr">
        <is>
          <t>Волна</t>
        </is>
      </c>
      <c r="B5" s="31" t="inlineStr">
        <is>
          <t>вторая волна</t>
        </is>
      </c>
    </row>
    <row r="6">
      <c r="A6" s="30" t="inlineStr">
        <is>
          <t>Назначение</t>
        </is>
      </c>
      <c r="B6" s="31" t="inlineStr">
        <is>
          <t>сохранять точные witness-specific формулировки там, где они не должны растворяться</t>
        </is>
      </c>
    </row>
    <row r="7">
      <c r="A7" s="30" t="inlineStr">
        <is>
          <t>Обязательность</t>
        </is>
      </c>
      <c r="B7" s="31" t="inlineStr">
        <is>
          <t>по мере сгущения</t>
        </is>
      </c>
    </row>
    <row r="8">
      <c r="A8" s="30" t="inlineStr">
        <is>
          <t>Первичный ключ</t>
        </is>
      </c>
      <c r="B8" s="31" t="inlineStr">
        <is>
          <t>gloss_id</t>
        </is>
      </c>
    </row>
    <row r="9">
      <c r="A9" s="30" t="inlineStr">
        <is>
          <t>Зависит от</t>
        </is>
      </c>
      <c r="B9" s="31" t="inlineStr">
        <is>
          <t>witnesses, segments, translation_tensions</t>
        </is>
      </c>
    </row>
    <row r="10">
      <c r="A10" s="30" t="inlineStr">
        <is>
          <t>Когда спавнить</t>
        </is>
      </c>
      <c r="B10" s="31" t="inlineStr">
        <is>
          <t>когда формулировка сама по себе значима</t>
        </is>
      </c>
    </row>
    <row r="11">
      <c r="A11" s="30" t="inlineStr">
        <is>
          <t>Правило заполнения</t>
        </is>
      </c>
      <c r="B11" s="31" t="inlineStr">
        <is>
          <t>одна строка = одна witness-specific поверхность; не превращать gloss в самостоятельный concept без нужды</t>
        </is>
      </c>
    </row>
    <row r="13">
      <c r="A13" s="33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32" t="inlineStr">
        <is>
          <t>gloss_id</t>
        </is>
      </c>
      <c r="B15" s="31" t="inlineStr">
        <is>
          <t>да</t>
        </is>
      </c>
      <c r="C15" s="31" t="inlineStr">
        <is>
          <t>string</t>
        </is>
      </c>
      <c r="D15" s="31" t="inlineStr">
        <is>
          <t>id gloss-а</t>
        </is>
      </c>
      <c r="E15" s="31" t="inlineStr">
        <is>
          <t>g.1.enjoyment</t>
        </is>
      </c>
      <c r="F15" s="31" t="inlineStr">
        <is>
          <t>стабилен</t>
        </is>
      </c>
    </row>
    <row r="16">
      <c r="A16" s="32" t="inlineStr">
        <is>
          <t>witness_id</t>
        </is>
      </c>
      <c r="B16" s="31" t="inlineStr">
        <is>
          <t>да</t>
        </is>
      </c>
      <c r="C16" s="31" t="inlineStr">
        <is>
          <t>string</t>
        </is>
      </c>
      <c r="D16" s="31" t="inlineStr">
        <is>
          <t>какому witness принадлежит</t>
        </is>
      </c>
      <c r="E16" s="31" t="inlineStr">
        <is>
          <t>w.ru.dionysus.translation.v1</t>
        </is>
      </c>
      <c r="F16" s="31" t="inlineStr">
        <is>
          <t>явная provenance</t>
        </is>
      </c>
    </row>
    <row r="17">
      <c r="A17" s="32" t="inlineStr">
        <is>
          <t>segment_id</t>
        </is>
      </c>
      <c r="B17" s="31" t="inlineStr">
        <is>
          <t>да</t>
        </is>
      </c>
      <c r="C17" s="31" t="inlineStr">
        <is>
          <t>string</t>
        </is>
      </c>
      <c r="D17" s="31" t="inlineStr">
        <is>
          <t>где встречается</t>
        </is>
      </c>
      <c r="E17" s="31" t="inlineStr">
        <is>
          <t>seg.1.1.1.1</t>
        </is>
      </c>
      <c r="F17" s="31" t="inlineStr">
        <is>
          <t>anchor</t>
        </is>
      </c>
    </row>
    <row r="18">
      <c r="A18" s="32" t="inlineStr">
        <is>
          <t>source_secondary</t>
        </is>
      </c>
      <c r="B18" s="31" t="inlineStr">
        <is>
          <t>да</t>
        </is>
      </c>
      <c r="C18" s="31" t="inlineStr">
        <is>
          <t>string</t>
        </is>
      </c>
      <c r="D18" s="31" t="inlineStr">
        <is>
          <t>вторичный адрес</t>
        </is>
      </c>
      <c r="E18" s="31" t="inlineStr">
        <is>
          <t>1,1,1,1</t>
        </is>
      </c>
      <c r="F18" s="31" t="inlineStr">
        <is>
          <t>быстрый anchor</t>
        </is>
      </c>
    </row>
    <row r="19">
      <c r="A19" s="32" t="inlineStr">
        <is>
          <t>token_or_phrase</t>
        </is>
      </c>
      <c r="B19" s="31" t="inlineStr">
        <is>
          <t>да</t>
        </is>
      </c>
      <c r="C19" s="31" t="inlineStr">
        <is>
          <t>string</t>
        </is>
      </c>
      <c r="D19" s="31" t="inlineStr">
        <is>
          <t>буквальная поверхность</t>
        </is>
      </c>
      <c r="E19" s="31" t="inlineStr">
        <is>
          <t>вкушал</t>
        </is>
      </c>
      <c r="F19" s="31" t="inlineStr">
        <is>
          <t>то, что нельзя потерять</t>
        </is>
      </c>
    </row>
    <row r="20">
      <c r="A20" s="32" t="inlineStr">
        <is>
          <t>normalized_core</t>
        </is>
      </c>
      <c r="B20" s="31" t="inlineStr">
        <is>
          <t>да</t>
        </is>
      </c>
      <c r="C20" s="31" t="inlineStr">
        <is>
          <t>string</t>
        </is>
      </c>
      <c r="D20" s="31" t="inlineStr">
        <is>
          <t>какое ядро стоит за ней</t>
        </is>
      </c>
      <c r="E20" s="31" t="inlineStr">
        <is>
          <t>delights_in</t>
        </is>
      </c>
      <c r="F20" s="31" t="inlineStr">
        <is>
          <t>смысловое ядро</t>
        </is>
      </c>
    </row>
    <row r="21">
      <c r="A21" s="32" t="inlineStr">
        <is>
          <t>tension_id</t>
        </is>
      </c>
      <c r="B21" s="31" t="inlineStr">
        <is>
          <t>нет</t>
        </is>
      </c>
      <c r="C21" s="31" t="inlineStr">
        <is>
          <t>string</t>
        </is>
      </c>
      <c r="D21" s="31" t="inlineStr">
        <is>
          <t>к какому tension привязан gloss</t>
        </is>
      </c>
      <c r="E21" s="31" t="inlineStr">
        <is>
          <t>tt.untergehen</t>
        </is>
      </c>
      <c r="F21" s="31" t="inlineStr">
        <is>
          <t>если gloss участвует в drift-cluster</t>
        </is>
      </c>
    </row>
    <row r="22">
      <c r="A22" s="32" t="inlineStr">
        <is>
          <t>gloss_note</t>
        </is>
      </c>
      <c r="B22" s="31" t="inlineStr">
        <is>
          <t>нет</t>
        </is>
      </c>
      <c r="C22" s="31" t="inlineStr">
        <is>
          <t>text</t>
        </is>
      </c>
      <c r="D22" s="31" t="inlineStr">
        <is>
          <t>что эта поверхность усиливает</t>
        </is>
      </c>
      <c r="E22" s="31" t="inlineStr">
        <is>
          <t>телесность внутреннего вкушения</t>
        </is>
      </c>
      <c r="F22" s="31" t="inlineStr">
        <is>
          <t>коротко</t>
        </is>
      </c>
    </row>
    <row r="23">
      <c r="A23" s="31" t="inlineStr">
        <is>
          <t>status</t>
        </is>
      </c>
      <c r="B23" s="31" t="inlineStr">
        <is>
          <t>нет</t>
        </is>
      </c>
      <c r="C23" s="31" t="inlineStr">
        <is>
          <t>enum</t>
        </is>
      </c>
      <c r="D23" s="31" t="inlineStr">
        <is>
          <t>open / useful / stabilized</t>
        </is>
      </c>
      <c r="E23" s="31" t="inlineStr">
        <is>
          <t>useful</t>
        </is>
      </c>
      <c r="F23" s="31" t="inlineStr">
        <is>
          <t>рабочий статус</t>
        </is>
      </c>
    </row>
    <row r="24">
      <c r="A24" s="33" t="inlineStr">
        <is>
          <t>Канонический пример строки</t>
        </is>
      </c>
    </row>
    <row r="25" ht="20" customHeight="1">
      <c r="A25" s="5" t="inlineStr">
        <is>
          <t>gloss_id</t>
        </is>
      </c>
      <c r="B25" s="5" t="inlineStr">
        <is>
          <t>witness_id</t>
        </is>
      </c>
      <c r="C25" s="5" t="inlineStr">
        <is>
          <t>segment_id</t>
        </is>
      </c>
      <c r="D25" s="5" t="inlineStr">
        <is>
          <t>source_secondary</t>
        </is>
      </c>
      <c r="E25" s="5" t="inlineStr">
        <is>
          <t>token_or_phrase</t>
        </is>
      </c>
      <c r="F25" s="5" t="inlineStr">
        <is>
          <t>normalized_core</t>
        </is>
      </c>
      <c r="G25" s="5" t="inlineStr">
        <is>
          <t>tension_id</t>
        </is>
      </c>
      <c r="H25" s="5" t="inlineStr">
        <is>
          <t>gloss_note</t>
        </is>
      </c>
      <c r="I25" s="5" t="inlineStr">
        <is>
          <t>status</t>
        </is>
      </c>
    </row>
    <row r="26" ht="20" customHeight="1">
      <c r="A26" s="32" t="inlineStr">
        <is>
          <t>g.1.enjoyment</t>
        </is>
      </c>
      <c r="B26" s="31" t="inlineStr">
        <is>
          <t>w.ru.dionysus.translation.v1</t>
        </is>
      </c>
      <c r="C26" s="31" t="inlineStr">
        <is>
          <t>seg.1.1.1.1</t>
        </is>
      </c>
      <c r="D26" s="31" t="inlineStr">
        <is>
          <t>1,1,1,1</t>
        </is>
      </c>
      <c r="E26" s="31" t="inlineStr">
        <is>
          <t>вкушал</t>
        </is>
      </c>
      <c r="F26" s="31" t="inlineStr">
        <is>
          <t>delights_in</t>
        </is>
      </c>
      <c r="G26" s="31" t="inlineStr">
        <is>
          <t>tt.untergehen</t>
        </is>
      </c>
      <c r="H26" s="31" t="inlineStr">
        <is>
          <t>телесность внутреннего вкушения</t>
        </is>
      </c>
      <c r="I26" s="31" t="inlineStr">
        <is>
          <t>useful</t>
        </is>
      </c>
    </row>
  </sheetData>
  <dataValidations count="1">
    <dataValidation sqref="I26" showDropDown="0" showInputMessage="0" showErrorMessage="0" allowBlank="1" type="list">
      <formula1>"open,useful,stabilized"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12" customWidth="1" min="4" max="4"/>
    <col width="18" customWidth="1" min="5" max="5"/>
    <col width="18" customWidth="1" min="6" max="6"/>
    <col width="24" customWidth="1" min="7" max="7"/>
    <col width="14" customWidth="1" min="8" max="8"/>
    <col width="24" customWidth="1" min="9" max="9"/>
    <col width="18" customWidth="1" min="10" max="10"/>
    <col width="18" customWidth="1" min="11" max="11"/>
  </cols>
  <sheetData>
    <row r="1" ht="24" customHeight="1">
      <c r="A1" s="28" t="inlineStr">
        <is>
          <t>Схема: principles</t>
        </is>
      </c>
    </row>
    <row r="2" ht="20" customHeight="1">
      <c r="A2" s="29" t="inlineStr">
        <is>
          <t>Distilled principles и authored commentary поверх anchors.</t>
        </is>
      </c>
    </row>
    <row r="4">
      <c r="A4" s="30" t="inlineStr">
        <is>
          <t>Таблица</t>
        </is>
      </c>
      <c r="B4" s="31" t="inlineStr">
        <is>
          <t>principles</t>
        </is>
      </c>
    </row>
    <row r="5">
      <c r="A5" s="30" t="inlineStr">
        <is>
          <t>Волна</t>
        </is>
      </c>
      <c r="B5" s="31" t="inlineStr">
        <is>
          <t>вторая волна</t>
        </is>
      </c>
    </row>
    <row r="6">
      <c r="A6" s="30" t="inlineStr">
        <is>
          <t>Назначение</t>
        </is>
      </c>
      <c r="B6" s="31" t="inlineStr">
        <is>
          <t>фиксировать уже снятые принципы, не выдавая их за буквальный source fact</t>
        </is>
      </c>
    </row>
    <row r="7">
      <c r="A7" s="30" t="inlineStr">
        <is>
          <t>Обязательность</t>
        </is>
      </c>
      <c r="B7" s="31" t="inlineStr">
        <is>
          <t>по мере сгущения</t>
        </is>
      </c>
    </row>
    <row r="8">
      <c r="A8" s="30" t="inlineStr">
        <is>
          <t>Первичный ключ</t>
        </is>
      </c>
      <c r="B8" s="31" t="inlineStr">
        <is>
          <t>principle_id</t>
        </is>
      </c>
    </row>
    <row r="9">
      <c r="A9" s="30" t="inlineStr">
        <is>
          <t>Зависит от</t>
        </is>
      </c>
      <c r="B9" s="31" t="inlineStr">
        <is>
          <t>segments, nodes, event_state_nodes, edges</t>
        </is>
      </c>
    </row>
    <row r="10">
      <c r="A10" s="30" t="inlineStr">
        <is>
          <t>Когда спавнить</t>
        </is>
      </c>
      <c r="B10" s="31" t="inlineStr">
        <is>
          <t>когда место уже удерживает принцип, а не только событие</t>
        </is>
      </c>
    </row>
    <row r="11">
      <c r="A11" s="30" t="inlineStr">
        <is>
          <t>Правило заполнения</t>
        </is>
      </c>
      <c r="B11" s="31" t="inlineStr">
        <is>
          <t>принцип должен иметь anchor и layer; его support нормализуется через principle_edge rows в edges</t>
        </is>
      </c>
    </row>
    <row r="13">
      <c r="A13" s="33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32" t="inlineStr">
        <is>
          <t>principle_id</t>
        </is>
      </c>
      <c r="B15" s="31" t="inlineStr">
        <is>
          <t>да</t>
        </is>
      </c>
      <c r="C15" s="31" t="inlineStr">
        <is>
          <t>string</t>
        </is>
      </c>
      <c r="D15" s="31" t="inlineStr">
        <is>
          <t>id принципа</t>
        </is>
      </c>
      <c r="E15" s="31" t="inlineStr">
        <is>
          <t>pr.descent_is_required_by_gift</t>
        </is>
      </c>
      <c r="F15" s="31" t="inlineStr">
        <is>
          <t>стабилен</t>
        </is>
      </c>
    </row>
    <row r="16">
      <c r="A16" s="32" t="inlineStr">
        <is>
          <t>layer</t>
        </is>
      </c>
      <c r="B16" s="31" t="inlineStr">
        <is>
          <t>да</t>
        </is>
      </c>
      <c r="C16" s="31" t="inlineStr">
        <is>
          <t>enum</t>
        </is>
      </c>
      <c r="D16" s="31" t="inlineStr">
        <is>
          <t>distilled_principle / authored_commentary</t>
        </is>
      </c>
      <c r="E16" s="31" t="inlineStr">
        <is>
          <t>distilled_principle</t>
        </is>
      </c>
      <c r="F16" s="31" t="inlineStr">
        <is>
          <t>режим утверждения</t>
        </is>
      </c>
    </row>
    <row r="17">
      <c r="A17" s="32" t="inlineStr">
        <is>
          <t>formula_ru</t>
        </is>
      </c>
      <c r="B17" s="31" t="inlineStr">
        <is>
          <t>да</t>
        </is>
      </c>
      <c r="C17" s="31" t="inlineStr">
        <is>
          <t>text</t>
        </is>
      </c>
      <c r="D17" s="31" t="inlineStr">
        <is>
          <t>сжатая формула принципа</t>
        </is>
      </c>
      <c r="E17" s="31" t="inlineStr">
        <is>
          <t>подлинный дар требует нисхождения</t>
        </is>
      </c>
      <c r="F17" s="31" t="inlineStr">
        <is>
          <t>коротко и ясно</t>
        </is>
      </c>
    </row>
    <row r="18">
      <c r="A18" s="32" t="inlineStr">
        <is>
          <t>anchor_mode</t>
        </is>
      </c>
      <c r="B18" s="31" t="inlineStr">
        <is>
          <t>да</t>
        </is>
      </c>
      <c r="C18" s="31" t="inlineStr">
        <is>
          <t>enum</t>
        </is>
      </c>
      <c r="D18" s="31" t="inlineStr">
        <is>
          <t>single / multi</t>
        </is>
      </c>
      <c r="E18" s="31" t="inlineStr">
        <is>
          <t>multi</t>
        </is>
      </c>
      <c r="F18" s="31" t="inlineStr">
        <is>
          <t>единый anchor contract</t>
        </is>
      </c>
    </row>
    <row r="19">
      <c r="A19" s="32" t="inlineStr">
        <is>
          <t>anchor_start_secondary</t>
        </is>
      </c>
      <c r="B19" s="31" t="inlineStr">
        <is>
          <t>да</t>
        </is>
      </c>
      <c r="C19" s="31" t="inlineStr">
        <is>
          <t>string</t>
        </is>
      </c>
      <c r="D19" s="31" t="inlineStr">
        <is>
          <t>первый адрес</t>
        </is>
      </c>
      <c r="E19" s="31" t="inlineStr">
        <is>
          <t>1,1,1,6</t>
        </is>
      </c>
      <c r="F19" s="31" t="inlineStr">
        <is>
          <t>начало опоры</t>
        </is>
      </c>
    </row>
    <row r="20">
      <c r="A20" s="32" t="inlineStr">
        <is>
          <t>anchor_end_secondary</t>
        </is>
      </c>
      <c r="B20" s="31" t="inlineStr">
        <is>
          <t>нет</t>
        </is>
      </c>
      <c r="C20" s="31" t="inlineStr">
        <is>
          <t>string</t>
        </is>
      </c>
      <c r="D20" s="31" t="inlineStr">
        <is>
          <t>последний адрес</t>
        </is>
      </c>
      <c r="E20" s="31" t="inlineStr">
        <is>
          <t>1,1,1,7</t>
        </is>
      </c>
      <c r="F20" s="31" t="inlineStr">
        <is>
          <t>если multi-anchor; для single-anchor оставлять пустым</t>
        </is>
      </c>
    </row>
    <row r="21">
      <c r="A21" s="32" t="inlineStr">
        <is>
          <t>anchor_segment_ids</t>
        </is>
      </c>
      <c r="B21" s="31" t="inlineStr">
        <is>
          <t>да</t>
        </is>
      </c>
      <c r="C21" s="31" t="inlineStr">
        <is>
          <t>string</t>
        </is>
      </c>
      <c r="D21" s="31" t="inlineStr">
        <is>
          <t>сегменты опоры</t>
        </is>
      </c>
      <c r="E21" s="31" t="inlineStr">
        <is>
          <t>seg.1.1.1.6|seg.1.1.1.7</t>
        </is>
      </c>
      <c r="F21" s="31" t="inlineStr">
        <is>
          <t>pipe-list segment ids</t>
        </is>
      </c>
    </row>
    <row r="22">
      <c r="A22" s="32" t="inlineStr">
        <is>
          <t>status</t>
        </is>
      </c>
      <c r="B22" s="31" t="inlineStr">
        <is>
          <t>нет</t>
        </is>
      </c>
      <c r="C22" s="31" t="inlineStr">
        <is>
          <t>enum</t>
        </is>
      </c>
      <c r="D22" s="31" t="inlineStr">
        <is>
          <t>open / bounded / stabilized</t>
        </is>
      </c>
      <c r="E22" s="31" t="inlineStr">
        <is>
          <t>bounded</t>
        </is>
      </c>
      <c r="F22" s="31" t="inlineStr">
        <is>
          <t>степень фиксации</t>
        </is>
      </c>
    </row>
    <row r="23">
      <c r="A23" s="31" t="inlineStr">
        <is>
          <t>note</t>
        </is>
      </c>
      <c r="B23" s="31" t="inlineStr">
        <is>
          <t>нет</t>
        </is>
      </c>
      <c r="C23" s="31" t="inlineStr">
        <is>
          <t>text</t>
        </is>
      </c>
      <c r="D23" s="31" t="inlineStr">
        <is>
          <t>служебная помета</t>
        </is>
      </c>
      <c r="E23" s="31" t="inlineStr">
        <is>
          <t>не выдавать за source fact</t>
        </is>
      </c>
      <c r="F23" s="31" t="inlineStr">
        <is>
          <t>если нужно</t>
        </is>
      </c>
    </row>
    <row r="24">
      <c r="A24" s="7" t="n"/>
    </row>
    <row r="25">
      <c r="A25" s="5" t="inlineStr">
        <is>
          <t>Канонический пример строки</t>
        </is>
      </c>
      <c r="B25" s="5" t="n"/>
      <c r="C25" s="5" t="n"/>
      <c r="D25" s="5" t="n"/>
      <c r="E25" s="5" t="n"/>
      <c r="F25" s="5" t="n"/>
    </row>
    <row r="26" ht="20" customHeight="1">
      <c r="A26" s="32" t="inlineStr">
        <is>
          <t>principle_id</t>
        </is>
      </c>
      <c r="B26" s="32" t="inlineStr">
        <is>
          <t>layer</t>
        </is>
      </c>
      <c r="C26" s="32" t="inlineStr">
        <is>
          <t>formula_ru</t>
        </is>
      </c>
      <c r="D26" s="32" t="inlineStr">
        <is>
          <t>anchor_mode</t>
        </is>
      </c>
      <c r="E26" s="32" t="inlineStr">
        <is>
          <t>anchor_start_secondary</t>
        </is>
      </c>
      <c r="F26" s="32" t="inlineStr">
        <is>
          <t>anchor_end_secondary</t>
        </is>
      </c>
      <c r="G26" s="32" t="inlineStr">
        <is>
          <t>anchor_segment_ids</t>
        </is>
      </c>
      <c r="H26" s="32" t="inlineStr">
        <is>
          <t>status</t>
        </is>
      </c>
      <c r="I26" s="32" t="inlineStr">
        <is>
          <t>note</t>
        </is>
      </c>
    </row>
    <row r="27" ht="20" customHeight="1">
      <c r="A27" s="32" t="inlineStr">
        <is>
          <t>pr.descent_is_required_by_gift</t>
        </is>
      </c>
      <c r="B27" s="31" t="inlineStr">
        <is>
          <t>distilled_principle</t>
        </is>
      </c>
      <c r="C27" s="31" t="inlineStr">
        <is>
          <t>подлинный дар требует нисхождения</t>
        </is>
      </c>
      <c r="D27" s="31" t="inlineStr">
        <is>
          <t>multi</t>
        </is>
      </c>
      <c r="E27" s="31" t="inlineStr">
        <is>
          <t>1,1,1,6</t>
        </is>
      </c>
      <c r="F27" s="31" t="inlineStr">
        <is>
          <t>1,1,1,7</t>
        </is>
      </c>
      <c r="G27" s="31" t="inlineStr">
        <is>
          <t>seg.1.1.1.6|seg.1.1.1.7</t>
        </is>
      </c>
      <c r="H27" s="31" t="inlineStr">
        <is>
          <t>bounded</t>
        </is>
      </c>
      <c r="I27" s="31" t="inlineStr">
        <is>
          <t>не выдавать за source fact</t>
        </is>
      </c>
    </row>
  </sheetData>
  <dataValidations count="3">
    <dataValidation sqref="B27" showDropDown="0" showInputMessage="0" showErrorMessage="0" allowBlank="1" type="list">
      <formula1>"distilled_principle,authored_commentary"</formula1>
    </dataValidation>
    <dataValidation sqref="D27" showDropDown="0" showInputMessage="0" showErrorMessage="0" allowBlank="1" type="list">
      <formula1>"single,multi"</formula1>
    </dataValidation>
    <dataValidation sqref="H27" showDropDown="0" showInputMessage="0" showErrorMessage="0" allowBlank="1" type="list">
      <formula1>"open,bounded,stabilized"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Правила спавна новых таблиц</t>
        </is>
      </c>
    </row>
    <row r="2" ht="20" customHeight="1">
      <c r="A2" s="2" t="inlineStr">
        <is>
          <t>Когда создавать новую таблицу, а когда не создавать.</t>
        </is>
      </c>
    </row>
    <row r="4">
      <c r="A4" s="3" t="inlineStr">
        <is>
          <t>Таблица</t>
        </is>
      </c>
      <c r="B4" s="4" t="inlineStr">
        <is>
          <t>growth_rules</t>
        </is>
      </c>
    </row>
    <row r="5">
      <c r="A5" s="3" t="inlineStr">
        <is>
          <t>Волна</t>
        </is>
      </c>
      <c r="B5" s="4" t="inlineStr">
        <is>
          <t>мета-слой</t>
        </is>
      </c>
    </row>
    <row r="6">
      <c r="A6" s="3" t="inlineStr">
        <is>
          <t>Назначение</t>
        </is>
      </c>
      <c r="B6" s="4" t="inlineStr">
        <is>
          <t>не дать проекту распухнуть и в то же время не зажать рост</t>
        </is>
      </c>
    </row>
    <row r="7">
      <c r="A7" s="3" t="inlineStr">
        <is>
          <t>Обязательность</t>
        </is>
      </c>
      <c r="B7" s="4" t="inlineStr">
        <is>
          <t>держать рядом с самого начала</t>
        </is>
      </c>
    </row>
    <row r="8">
      <c r="A8" s="3" t="inlineStr">
        <is>
          <t>Первичный ключ</t>
        </is>
      </c>
      <c r="B8" s="4" t="inlineStr">
        <is>
          <t>rule_id</t>
        </is>
      </c>
    </row>
    <row r="9">
      <c r="A9" s="3" t="inlineStr">
        <is>
          <t>Зависит от</t>
        </is>
      </c>
      <c r="B9" s="4" t="inlineStr">
        <is>
          <t>весь проект</t>
        </is>
      </c>
    </row>
    <row r="10">
      <c r="A10" s="3" t="inlineStr">
        <is>
          <t>Когда спавнить</t>
        </is>
      </c>
      <c r="B10" s="4" t="inlineStr">
        <is>
          <t>не спавнится; это регулятор</t>
        </is>
      </c>
    </row>
    <row r="11">
      <c r="A11" s="3" t="inlineStr">
        <is>
          <t>Правило заполнения</t>
        </is>
      </c>
      <c r="B11" s="4" t="inlineStr">
        <is>
          <t>каждая новая таблица должна пройти тест пользы</t>
        </is>
      </c>
    </row>
    <row r="13">
      <c r="A13" s="7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6" t="inlineStr">
        <is>
          <t>rule_id</t>
        </is>
      </c>
      <c r="B15" s="4" t="inlineStr">
        <is>
          <t>да</t>
        </is>
      </c>
      <c r="C15" s="4" t="inlineStr">
        <is>
          <t>string</t>
        </is>
      </c>
      <c r="D15" s="4" t="inlineStr">
        <is>
          <t>id правила</t>
        </is>
      </c>
      <c r="E15" s="4" t="inlineStr">
        <is>
          <t>gr.01</t>
        </is>
      </c>
      <c r="F15" s="4" t="inlineStr">
        <is>
          <t>технический</t>
        </is>
      </c>
    </row>
    <row r="16">
      <c r="A16" s="6" t="inlineStr">
        <is>
          <t>question</t>
        </is>
      </c>
      <c r="B16" s="4" t="inlineStr">
        <is>
          <t>да</t>
        </is>
      </c>
      <c r="C16" s="4" t="inlineStr">
        <is>
          <t>text</t>
        </is>
      </c>
      <c r="D16" s="4" t="inlineStr">
        <is>
          <t>контрольный вопрос</t>
        </is>
      </c>
      <c r="E16" s="4" t="inlineStr">
        <is>
          <t>Открывает ли новая таблица новый тип запроса?</t>
        </is>
      </c>
      <c r="F16" s="4" t="inlineStr">
        <is>
          <t>задает тест</t>
        </is>
      </c>
    </row>
    <row r="17">
      <c r="A17" s="6" t="inlineStr">
        <is>
          <t>yes_action</t>
        </is>
      </c>
      <c r="B17" s="4" t="inlineStr">
        <is>
          <t>да</t>
        </is>
      </c>
      <c r="C17" s="4" t="inlineStr">
        <is>
          <t>text</t>
        </is>
      </c>
      <c r="D17" s="4" t="inlineStr">
        <is>
          <t>что делать если да</t>
        </is>
      </c>
      <c r="E17" s="4" t="inlineStr">
        <is>
          <t>заводить таблицу и связывать через устойчивые ids</t>
        </is>
      </c>
      <c r="F17" s="4" t="inlineStr">
        <is>
          <t>позитивный ход</t>
        </is>
      </c>
    </row>
    <row r="18">
      <c r="A18" s="6" t="inlineStr">
        <is>
          <t>no_action</t>
        </is>
      </c>
      <c r="B18" s="4" t="inlineStr">
        <is>
          <t>да</t>
        </is>
      </c>
      <c r="C18" s="4" t="inlineStr">
        <is>
          <t>text</t>
        </is>
      </c>
      <c r="D18" s="4" t="inlineStr">
        <is>
          <t>что делать если нет</t>
        </is>
      </c>
      <c r="E18" s="4" t="inlineStr">
        <is>
          <t>оставить данные в существующей таблице</t>
        </is>
      </c>
      <c r="F18" s="4" t="inlineStr">
        <is>
          <t>не плодить лишнее</t>
        </is>
      </c>
    </row>
    <row r="19">
      <c r="A19" s="6" t="inlineStr">
        <is>
          <t>danger</t>
        </is>
      </c>
      <c r="B19" s="4" t="inlineStr">
        <is>
          <t>нет</t>
        </is>
      </c>
      <c r="C19" s="4" t="inlineStr">
        <is>
          <t>text</t>
        </is>
      </c>
      <c r="D19" s="4" t="inlineStr">
        <is>
          <t>чего избегать</t>
        </is>
      </c>
      <c r="E19" s="4" t="inlineStr">
        <is>
          <t>дублирование узлов и смешение source/commentary</t>
        </is>
      </c>
      <c r="F19" s="4" t="inlineStr">
        <is>
          <t>красная зона</t>
        </is>
      </c>
    </row>
    <row r="21">
      <c r="A21" s="7" t="inlineStr">
        <is>
          <t>Минимальный пример строки</t>
        </is>
      </c>
    </row>
    <row r="22">
      <c r="A22" s="5" t="inlineStr">
        <is>
          <t>rule_id</t>
        </is>
      </c>
      <c r="B22" s="5" t="inlineStr">
        <is>
          <t>question</t>
        </is>
      </c>
      <c r="C22" s="5" t="inlineStr">
        <is>
          <t>yes_action</t>
        </is>
      </c>
      <c r="D22" s="5" t="inlineStr">
        <is>
          <t>no_action</t>
        </is>
      </c>
      <c r="E22" s="5" t="inlineStr">
        <is>
          <t>danger</t>
        </is>
      </c>
    </row>
    <row r="23">
      <c r="A23" s="6" t="inlineStr">
        <is>
          <t>gr.01</t>
        </is>
      </c>
      <c r="B23" s="4" t="inlineStr">
        <is>
          <t>Открывает ли новая таблица новый тип запроса или reasoning path?</t>
        </is>
      </c>
      <c r="C23" s="4" t="inlineStr">
        <is>
          <t>Да: создать новую таблицу.</t>
        </is>
      </c>
      <c r="D23" s="4" t="inlineStr">
        <is>
          <t>Нет: оставить в текущем слое.</t>
        </is>
      </c>
      <c r="E23" s="4" t="inlineStr">
        <is>
          <t>Пустое размножение схем.</t>
        </is>
      </c>
    </row>
    <row r="24">
      <c r="A24" s="6" t="inlineStr">
        <is>
          <t>gr.02</t>
        </is>
      </c>
      <c r="B24" s="4" t="inlineStr">
        <is>
          <t>Снимает ли она путаницу между witness, layer и provenance?</t>
        </is>
      </c>
      <c r="C24" s="4" t="inlineStr">
        <is>
          <t>Да: создать новую таблицу.</t>
        </is>
      </c>
      <c r="D24" s="4" t="inlineStr">
        <is>
          <t>Нет: уточнить текущие поля.</t>
        </is>
      </c>
      <c r="E24" s="4" t="inlineStr">
        <is>
          <t>Смешение происхождения и толкования.</t>
        </is>
      </c>
    </row>
    <row r="25">
      <c r="A25" s="6" t="inlineStr">
        <is>
          <t>gr.03</t>
        </is>
      </c>
      <c r="B25" s="4" t="inlineStr">
        <is>
          <t>Снижает ли она дублирование?</t>
        </is>
      </c>
      <c r="C25" s="4" t="inlineStr">
        <is>
          <t>Да: нормализовать и вынести.</t>
        </is>
      </c>
      <c r="D25" s="4" t="inlineStr">
        <is>
          <t>Нет: не спавнить.</t>
        </is>
      </c>
      <c r="E25" s="4" t="inlineStr">
        <is>
          <t>Параллельные копии одного смысла.</t>
        </is>
      </c>
    </row>
    <row r="26">
      <c r="A26" s="6" t="inlineStr">
        <is>
          <t>gr.04</t>
        </is>
      </c>
      <c r="B26" s="4" t="inlineStr">
        <is>
          <t>Становится ли аналогия сама queryable?</t>
        </is>
      </c>
      <c r="C26" s="4" t="inlineStr">
        <is>
          <t>Да: позже создать analogy_nodes.</t>
        </is>
      </c>
      <c r="D26" s="4" t="inlineStr">
        <is>
          <t>Нет: оставить kind=analogy в event_state_nodes.</t>
        </is>
      </c>
      <c r="E26" s="4" t="inlineStr">
        <is>
          <t>Преждевременная инфляция символов.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2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Источники схемы</t>
        </is>
      </c>
    </row>
    <row r="2" ht="20" customHeight="1">
      <c r="A2" s="2" t="inlineStr">
        <is>
          <t>Plain text URLs для проектной дисциплины</t>
        </is>
      </c>
    </row>
    <row r="4">
      <c r="A4" s="5" t="inlineStr">
        <is>
          <t>Источник</t>
        </is>
      </c>
      <c r="B4" s="5" t="inlineStr">
        <is>
          <t>URL</t>
        </is>
      </c>
      <c r="C4" s="5" t="inlineStr">
        <is>
          <t>Зачем нужен</t>
        </is>
      </c>
    </row>
    <row r="5">
      <c r="A5" s="6" t="inlineStr">
        <is>
          <t>ToS Charter</t>
        </is>
      </c>
      <c r="B5" s="4" t="inlineStr">
        <is>
          <t>https://raw.githubusercontent.com/8Dionysus/Tree-of-Sophia/main/CHARTER.md</t>
        </is>
      </c>
      <c r="C5" s="4" t="inlineStr">
        <is>
          <t>raw material, derived extraction и human-reviewed synthesis должны быть разведены; growth through explicit structure.</t>
        </is>
      </c>
    </row>
    <row r="6">
      <c r="A6" s="6" t="inlineStr">
        <is>
          <t>Zarathustra Trilingual Entry</t>
        </is>
      </c>
      <c r="B6" s="4" t="inlineStr">
        <is>
          <t>https://raw.githubusercontent.com/8Dionysus/Tree-of-Sophia/main/docs/ZARATHUSTRA_TRILINGUAL_ENTRY.md</t>
        </is>
      </c>
      <c r="C6" s="4" t="inlineStr">
        <is>
          <t>1 source node, 12 shared paragraph-aligned segments, 3 language witnesses, bounded translation_tensions, deepening not widening.</t>
        </is>
      </c>
    </row>
    <row r="7">
      <c r="A7" s="6" t="inlineStr">
        <is>
          <t>source_node.example.json</t>
        </is>
      </c>
      <c r="B7" s="4" t="inlineStr">
        <is>
          <t>https://raw.githubusercontent.com/8Dionysus/Tree-of-Sophia/main/examples/source_node.example.json</t>
        </is>
      </c>
      <c r="C7" s="4" t="inlineStr">
        <is>
          <t>interpretation_layers = source_linked / distilled_thesis / commentary; key_terms include solitude, overflow, descent, return.</t>
        </is>
      </c>
    </row>
    <row r="8">
      <c r="A8" s="6" t="inlineStr">
        <is>
          <t>Audit patchpack</t>
        </is>
      </c>
      <c r="B8" s="4" t="inlineStr">
        <is>
          <t>user-uploaded workbook: tos_kag_project_scheme_v5_patchpack.xlsx</t>
        </is>
      </c>
      <c r="C8" s="4" t="inlineStr">
        <is>
          <t>канонический контракт, patch-list и seed-реестры для v6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  <col width="28" customWidth="1" min="4" max="4"/>
    <col width="22" customWidth="1" min="5" max="5"/>
    <col width="40" customWidth="1" min="6" max="6"/>
    <col width="26" customWidth="1" min="7" max="7"/>
    <col width="34" customWidth="1" min="8" max="8"/>
    <col width="24" customWidth="1" min="9" max="9"/>
  </cols>
  <sheetData>
    <row r="1" ht="20" customHeight="1">
      <c r="A1" s="35" t="inlineStr">
        <is>
          <t>Проектная схема ToS/KAG v6.1</t>
        </is>
      </c>
    </row>
    <row r="2" ht="20" customHeight="1">
      <c r="A2" s="36" t="inlineStr">
        <is>
          <t>Стартовый набор authoring tables, governance-слой и generated serving views</t>
        </is>
      </c>
    </row>
    <row r="3" ht="20" customHeight="1"/>
    <row r="4" ht="34" customHeight="1">
      <c r="A4" s="34" t="inlineStr">
        <is>
          <t>Назначение</t>
        </is>
      </c>
      <c r="B4" s="31" t="inlineStr">
        <is>
          <t>Дать одну рабочую карту проекта: с каких таблиц начинать, что в них обязательно, что можно отложить и когда рождать следующий слой.</t>
        </is>
      </c>
    </row>
    <row r="5" ht="34" customHeight="1">
      <c r="A5" s="34" t="inlineStr">
        <is>
          <t>Главный принцип</t>
        </is>
      </c>
      <c r="B5" s="31" t="inlineStr">
        <is>
          <t>Малое устойчивое ядро сначала; новые таблицы только тогда, когда они открывают новый тип запроса, удерживают provenance, снимают путаницу или закрепляют governance.</t>
        </is>
      </c>
    </row>
    <row r="6" ht="34" customHeight="1">
      <c r="A6" s="34" t="inlineStr">
        <is>
          <t>Authoring vs serving</t>
        </is>
      </c>
      <c r="B6" s="31" t="inlineStr">
        <is>
          <t>corpus_map / witnesses / segments / nodes / event_state_nodes / principles / edges / tensions / glosses = authoring. master_view / coverage_view / actual layers = serving.</t>
        </is>
      </c>
    </row>
    <row r="7" ht="34" customHeight="1">
      <c r="A7" s="34" t="inlineStr">
        <is>
          <t>Базовый старт</t>
        </is>
      </c>
      <c r="B7" s="31" t="inlineStr">
        <is>
          <t>corpus_map, witnesses, segments, nodes, event_state_nodes, edges, translation_tensions.</t>
        </is>
      </c>
    </row>
    <row r="8" ht="34" customHeight="1">
      <c r="A8" s="34" t="inlineStr">
        <is>
          <t>Вторая волна</t>
        </is>
      </c>
      <c r="B8" s="31" t="inlineStr">
        <is>
          <t>witness_glosses, principles, predicates_registry, class_registry.</t>
        </is>
      </c>
    </row>
    <row r="9" ht="20" customHeight="1">
      <c r="A9" s="31" t="inlineStr">
        <is>
          <t>Третья волна</t>
        </is>
      </c>
      <c r="B9" s="31" t="inlineStr">
        <is>
          <t>reasoning_paths, lineage_links, agent_witnesses, query_views, поздние symbolic projections.</t>
        </is>
      </c>
    </row>
    <row r="10" ht="20" customHeight="1"/>
    <row r="11" ht="28" customHeight="1">
      <c r="A11" s="37" t="inlineStr">
        <is>
          <t>Таблица</t>
        </is>
      </c>
      <c r="B11" s="37" t="inlineStr">
        <is>
          <t>Роль</t>
        </is>
      </c>
      <c r="C11" s="37" t="inlineStr">
        <is>
          <t>Обязательные поля</t>
        </is>
      </c>
      <c r="D11" s="37" t="inlineStr">
        <is>
          <t>Опциональные поля</t>
        </is>
      </c>
      <c r="E11" s="37" t="inlineStr">
        <is>
          <t>Заполнять когда</t>
        </is>
      </c>
      <c r="F11" s="37" t="inlineStr">
        <is>
          <t>Правило заполнения</t>
        </is>
      </c>
      <c r="G11" s="37" t="inlineStr">
        <is>
          <t>Не делать</t>
        </is>
      </c>
      <c r="H11" s="37" t="inlineStr">
        <is>
          <t>Спавнить дальше когда</t>
        </is>
      </c>
      <c r="I11" s="37" t="inlineStr">
        <is>
          <t>Минимальный пример</t>
        </is>
      </c>
    </row>
    <row r="12" ht="28" customHeight="1">
      <c r="A12" s="38" t="inlineStr">
        <is>
          <t>corpus_map</t>
        </is>
      </c>
      <c r="B12" s="38" t="inlineStr">
        <is>
          <t>authoring / base</t>
        </is>
      </c>
      <c r="C12" s="38" t="inlineStr">
        <is>
          <t>corpus_row_id; work_id; part_no; chapter_no; subchapter_no; paragraph_no; source_secondary; sort_key</t>
        </is>
      </c>
      <c r="D12" s="38" t="inlineStr">
        <is>
          <t>title_ru; title_en; note</t>
        </is>
      </c>
      <c r="E12" s="38" t="inlineStr">
        <is>
          <t>сразу</t>
        </is>
      </c>
      <c r="F12" s="38" t="inlineStr">
        <is>
          <t>Одна строка = одно адресуемое место корпуса.</t>
        </is>
      </c>
      <c r="G12" s="38" t="inlineStr">
        <is>
          <t>Не превращать corpus_map в таблицу смыслов.</t>
        </is>
      </c>
      <c r="H12" s="38" t="inlineStr">
        <is>
          <t>Когда нужен стабильный адрес книги/главы/части/абзаца.</t>
        </is>
      </c>
      <c r="I12" s="38" t="inlineStr">
        <is>
          <t>cm.1.1.1.8 | 1,1,1,8 | 8</t>
        </is>
      </c>
    </row>
    <row r="13" ht="28" customHeight="1">
      <c r="A13" s="39" t="inlineStr">
        <is>
          <t>witnesses</t>
        </is>
      </c>
      <c r="B13" s="39" t="inlineStr">
        <is>
          <t>authoring / base</t>
        </is>
      </c>
      <c r="C13" s="39" t="inlineStr">
        <is>
          <t>witness_id; language; witness_role; authority_level</t>
        </is>
      </c>
      <c r="D13" s="39" t="inlineStr">
        <is>
          <t>author_or_translator; edition_or_source; publication_year; based_on; normalization_note; active</t>
        </is>
      </c>
      <c r="E13" s="39" t="inlineStr">
        <is>
          <t>сразу</t>
        </is>
      </c>
      <c r="F13" s="39" t="inlineStr">
        <is>
          <t>Одна строка = один text witness.</t>
        </is>
      </c>
      <c r="G13" s="39" t="inlineStr">
        <is>
          <t>Не смешивать witness и layer.</t>
        </is>
      </c>
      <c r="H13" s="39" t="inlineStr">
        <is>
          <t>Когда есть 2+ text layers или нужен provenance.</t>
        </is>
      </c>
      <c r="I13" s="39" t="inlineStr">
        <is>
          <t>w.ru.dionysus.translation.v1</t>
        </is>
      </c>
    </row>
    <row r="14" ht="28" customHeight="1">
      <c r="A14" s="38" t="inlineStr">
        <is>
          <t>segments</t>
        </is>
      </c>
      <c r="B14" s="38" t="inlineStr">
        <is>
          <t>authoring / base</t>
        </is>
      </c>
      <c r="C14" s="38" t="inlineStr">
        <is>
          <t>segment_id; source_secondary; paragraph_anchor; sort_key; witness_scope</t>
        </is>
      </c>
      <c r="D14" s="38" t="inlineStr">
        <is>
          <t>line_span; cluster_id; working_name; note</t>
        </is>
      </c>
      <c r="E14" s="38" t="inlineStr">
        <is>
          <t>сразу после разметки</t>
        </is>
      </c>
      <c r="F14" s="38" t="inlineStr">
        <is>
          <t>Одна строка = один shared paragraph-aligned segment.</t>
        </is>
      </c>
      <c r="G14" s="38" t="inlineStr">
        <is>
          <t>Не путать segment spine с witness surface.</t>
        </is>
      </c>
      <c r="H14" s="38" t="inlineStr">
        <is>
          <t>Когда нужен общий anchor для всех слоёв.</t>
        </is>
      </c>
      <c r="I14" s="38" t="inlineStr">
        <is>
          <t>seg.1.1.1.5</t>
        </is>
      </c>
    </row>
    <row r="15" ht="28" customHeight="1">
      <c r="A15" s="39" t="inlineStr">
        <is>
          <t>nodes</t>
        </is>
      </c>
      <c r="B15" s="39" t="inlineStr">
        <is>
          <t>authoring / base</t>
        </is>
      </c>
      <c r="C15" s="39" t="inlineStr">
        <is>
          <t>node_id; label_ru; node_class; layer; first_segment_id; first_source_secondary</t>
        </is>
      </c>
      <c r="D15" s="39" t="inlineStr">
        <is>
          <t>canonical_label; label_en; status; note</t>
        </is>
      </c>
      <c r="E15" s="39" t="inlineStr">
        <is>
          <t>сразу после первых segments</t>
        </is>
      </c>
      <c r="F15" s="39" t="inlineStr">
        <is>
          <t>Один смысл -&gt; один node_id.</t>
        </is>
      </c>
      <c r="G15" s="39" t="inlineStr">
        <is>
          <t>Не плодить языковые копии смысла.</t>
        </is>
      </c>
      <c r="H15" s="39" t="inlineStr">
        <is>
          <t>Когда смысл должен переиспользоваться.</t>
        </is>
      </c>
      <c r="I15" s="39" t="inlineStr">
        <is>
          <t>n.overflow</t>
        </is>
      </c>
    </row>
    <row r="16" ht="28" customHeight="1">
      <c r="A16" s="38" t="inlineStr">
        <is>
          <t>event_state_nodes</t>
        </is>
      </c>
      <c r="B16" s="38" t="inlineStr">
        <is>
          <t>authoring / base</t>
        </is>
      </c>
      <c r="C16" s="38" t="inlineStr">
        <is>
          <t>es_id; kind; label_ru; anchor_mode; anchor_start_secondary; anchor_segment_ids</t>
        </is>
      </c>
      <c r="D16" s="38" t="inlineStr">
        <is>
          <t>anchor_end_secondary; subject_hint; es_class; repeatable; note</t>
        </is>
      </c>
      <c r="E16" s="38" t="inlineStr">
        <is>
          <t>когда тройка тесна</t>
        </is>
      </c>
      <c r="F16" s="38" t="inlineStr">
        <is>
          <t>Выносить длительность, повторяемость, условность, множественных участников и analogies.</t>
        </is>
      </c>
      <c r="G16" s="38" t="inlineStr">
        <is>
          <t>Не делать event/state из каждой простой тройки.</t>
        </is>
      </c>
      <c r="H16" s="38" t="inlineStr">
        <is>
          <t>Когда relation несёт собственную структуру.</t>
        </is>
      </c>
      <c r="I16" s="38" t="inlineStr">
        <is>
          <t>st.p1.solitary_ripening_10y</t>
        </is>
      </c>
    </row>
    <row r="17" ht="28" customHeight="1">
      <c r="A17" s="39" t="inlineStr">
        <is>
          <t>edges</t>
        </is>
      </c>
      <c r="B17" s="39" t="inlineStr">
        <is>
          <t>authoring / base</t>
        </is>
      </c>
      <c r="C17" s="39" t="inlineStr">
        <is>
          <t>edge_id; edge_kind; from_id; predicate_id; to_id; layer; anchor_mode; anchor_start_secondary; anchor_segment_ids</t>
        </is>
      </c>
      <c r="D17" s="39" t="inlineStr">
        <is>
          <t>anchor_end_secondary; witness_scope; connectivity_role; confidence; note</t>
        </is>
      </c>
      <c r="E17" s="39" t="inlineStr">
        <is>
          <t>сразу после nodes и es</t>
        </is>
      </c>
      <c r="F17" s="39" t="inlineStr">
        <is>
          <t>Edges связывают node/es/principle ids.</t>
        </is>
      </c>
      <c r="G17" s="39" t="inlineStr">
        <is>
          <t>Не писать смысл прямо в master.</t>
        </is>
      </c>
      <c r="H17" s="39" t="inlineStr">
        <is>
          <t>Когда есть хотя бы один нормализованный id.</t>
        </is>
      </c>
      <c r="I17" s="39" t="inlineStr">
        <is>
          <t>e63</t>
        </is>
      </c>
    </row>
    <row r="18" ht="28" customHeight="1">
      <c r="A18" s="38" t="inlineStr">
        <is>
          <t>translation_tensions</t>
        </is>
      </c>
      <c r="B18" s="38" t="inlineStr">
        <is>
          <t>authoring / base+</t>
        </is>
      </c>
      <c r="C18" s="38" t="inlineStr">
        <is>
          <t>tension_id; normalized_core; anchor_mode; anchor_start_secondary; anchor_segment_ids; why_load_bearing</t>
        </is>
      </c>
      <c r="D18" s="38" t="inlineStr">
        <is>
          <t>anchor_end_secondary; witness_ids; decision_status; preferred_handling; note</t>
        </is>
      </c>
      <c r="E18" s="38" t="inlineStr">
        <is>
          <t>сразу, но скупо</t>
        </is>
      </c>
      <c r="F18" s="38" t="inlineStr">
        <is>
          <t>Только load-bearing drift clusters.</t>
        </is>
      </c>
      <c r="G18" s="38" t="inlineStr">
        <is>
          <t>Не хранить здесь wide tri-lingual bundles.</t>
        </is>
      </c>
      <c r="H18" s="38" t="inlineStr">
        <is>
          <t>Когда drift меняет философский вес.</t>
        </is>
      </c>
      <c r="I18" s="38" t="inlineStr">
        <is>
          <t>tt.untergehen</t>
        </is>
      </c>
    </row>
    <row r="19" ht="28" customHeight="1">
      <c r="A19" s="39" t="inlineStr">
        <is>
          <t>witness_glosses</t>
        </is>
      </c>
      <c r="B19" s="39" t="inlineStr">
        <is>
          <t>authoring / wave2</t>
        </is>
      </c>
      <c r="C19" s="39" t="inlineStr">
        <is>
          <t>gloss_id; witness_id; segment_id; source_secondary; token_or_phrase; normalized_core</t>
        </is>
      </c>
      <c r="D19" s="39" t="inlineStr">
        <is>
          <t>tension_id; gloss_note; status</t>
        </is>
      </c>
      <c r="E19" s="39" t="inlineStr">
        <is>
          <t>по мере сгущения</t>
        </is>
      </c>
      <c r="F19" s="39" t="inlineStr">
        <is>
          <t>Gloss = one witness-specific lexical surface.</t>
        </is>
      </c>
      <c r="G19" s="39" t="inlineStr">
        <is>
          <t>Не превращать glosses в словарную свалку.</t>
        </is>
      </c>
      <c r="H19" s="39" t="inlineStr">
        <is>
          <t>Когда формулировка сама ведёт смысл.</t>
        </is>
      </c>
      <c r="I19" s="39" t="inlineStr">
        <is>
          <t>g.1.enjoyment</t>
        </is>
      </c>
    </row>
    <row r="20" ht="28" customHeight="1">
      <c r="A20" s="38" t="inlineStr">
        <is>
          <t>principles</t>
        </is>
      </c>
      <c r="B20" s="38" t="inlineStr">
        <is>
          <t>authoring / wave2</t>
        </is>
      </c>
      <c r="C20" s="38" t="inlineStr">
        <is>
          <t>principle_id; layer; formula_ru; anchor_mode; anchor_start_secondary; anchor_segment_ids</t>
        </is>
      </c>
      <c r="D20" s="38" t="inlineStr">
        <is>
          <t>anchor_end_secondary; status; note</t>
        </is>
      </c>
      <c r="E20" s="38" t="inlineStr">
        <is>
          <t>по мере сгущения</t>
        </is>
      </c>
      <c r="F20" s="38" t="inlineStr">
        <is>
          <t>Support нормализуется через principle_edge rows.</t>
        </is>
      </c>
      <c r="G20" s="38" t="inlineStr">
        <is>
          <t>Не держать supporting_ids pipe-list внутри principle row.</t>
        </is>
      </c>
      <c r="H20" s="38" t="inlineStr">
        <is>
          <t>Когда edges уже снимаются в общий закон.</t>
        </is>
      </c>
      <c r="I20" s="38" t="inlineStr">
        <is>
          <t>pr.happiness_is_relational</t>
        </is>
      </c>
    </row>
    <row r="21" ht="28" customHeight="1">
      <c r="A21" s="39" t="inlineStr">
        <is>
          <t>predicates_registry</t>
        </is>
      </c>
      <c r="B21" s="39" t="inlineStr">
        <is>
          <t>governance / wave2</t>
        </is>
      </c>
      <c r="C21" s="39" t="inlineStr">
        <is>
          <t>predicate_id; predicate_ru</t>
        </is>
      </c>
      <c r="D21" s="39" t="inlineStr">
        <is>
          <t>inverse_predicate_id; allowed_from_classes; allowed_to_classes; status; note</t>
        </is>
      </c>
      <c r="E21" s="39" t="inlineStr">
        <is>
          <t>когда растёт словарь предикатов</t>
        </is>
      </c>
      <c r="F21" s="39" t="inlineStr">
        <is>
          <t>Реестр управляет predicate drift.</t>
        </is>
      </c>
      <c r="G21" s="39" t="inlineStr">
        <is>
          <t>Не плодить близкие глаголы без решения registry.</t>
        </is>
      </c>
      <c r="H21" s="39" t="inlineStr">
        <is>
          <t>Когда master накапливает singletons и почти-дубли.</t>
        </is>
      </c>
      <c r="I21" s="39" t="inlineStr">
        <is>
          <t>addresses</t>
        </is>
      </c>
    </row>
    <row r="22" ht="28" customHeight="1">
      <c r="A22" s="38" t="inlineStr">
        <is>
          <t>class_registry</t>
        </is>
      </c>
      <c r="B22" s="38" t="inlineStr">
        <is>
          <t>governance / wave2</t>
        </is>
      </c>
      <c r="C22" s="38" t="inlineStr">
        <is>
          <t>class_id</t>
        </is>
      </c>
      <c r="D22" s="38" t="inlineStr">
        <is>
          <t>family; parent_class; status; note</t>
        </is>
      </c>
      <c r="E22" s="38" t="inlineStr">
        <is>
          <t>когда растёт словарь классов</t>
        </is>
      </c>
      <c r="F22" s="38" t="inlineStr">
        <is>
          <t>Реестр управляет class drift.</t>
        </is>
      </c>
      <c r="G22" s="38" t="inlineStr">
        <is>
          <t>Не создавать новый class label без сверки.</t>
        </is>
      </c>
      <c r="H22" s="38" t="inlineStr">
        <is>
          <t>Когда классы начинают расползаться.</t>
        </is>
      </c>
      <c r="I22" s="38" t="inlineStr">
        <is>
          <t>event</t>
        </is>
      </c>
    </row>
    <row r="23" ht="28" customHeight="1">
      <c r="A23" s="39" t="inlineStr">
        <is>
          <t>master_view</t>
        </is>
      </c>
      <c r="B23" s="39" t="inlineStr">
        <is>
          <t>serving / generated</t>
        </is>
      </c>
      <c r="C23" s="39" t="inlineStr">
        <is>
          <t>generated from authoring tables</t>
        </is>
      </c>
      <c r="D23" s="39" t="inlineStr">
        <is>
          <t>from_label_ru; to_label_ru; from_class; to_class; p_start; p_end; n_range; paragraph_tags</t>
        </is>
      </c>
      <c r="E23" s="39" t="inlineStr">
        <is>
          <t>после base authoring</t>
        </is>
      </c>
      <c r="F23" s="39" t="inlineStr">
        <is>
          <t>Лист только для чтения и аудита.</t>
        </is>
      </c>
      <c r="G23" s="39" t="inlineStr">
        <is>
          <t>Не authorить прямо в master.</t>
        </is>
      </c>
      <c r="H23" s="39" t="inlineStr">
        <is>
          <t>Когда нужен denormalized relation view.</t>
        </is>
      </c>
      <c r="I23" s="39" t="inlineStr">
        <is>
          <t>15_Master_связность_1_12</t>
        </is>
      </c>
    </row>
    <row r="24" ht="28" customHeight="1">
      <c r="A24" s="38" t="inlineStr">
        <is>
          <t>coverage_view</t>
        </is>
      </c>
      <c r="B24" s="38" t="inlineStr">
        <is>
          <t>serving / generated</t>
        </is>
      </c>
      <c r="C24" s="38" t="inlineStr">
        <is>
          <t>generated from master_view</t>
        </is>
      </c>
      <c r="D24" s="38" t="inlineStr">
        <is>
          <t>counts by row_kind / layer / connectivity_role</t>
        </is>
      </c>
      <c r="E24" s="38" t="inlineStr">
        <is>
          <t>после master_view</t>
        </is>
      </c>
      <c r="F24" s="38" t="inlineStr">
        <is>
          <t>Динамический аудит покрытия.</t>
        </is>
      </c>
      <c r="G24" s="38" t="inlineStr">
        <is>
          <t>Не держать fixed ranges, которые тихо врут при росте.</t>
        </is>
      </c>
      <c r="H24" s="38" t="inlineStr">
        <is>
          <t>Когда нужен быстрый контроль охвата.</t>
        </is>
      </c>
      <c r="I24" s="38" t="inlineStr">
        <is>
          <t>16_Master_покрытие_1_12</t>
        </is>
      </c>
    </row>
    <row r="25" ht="28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>
      <c r="A26" s="31" t="inlineStr">
        <is>
          <t>Serving-проекции</t>
        </is>
      </c>
    </row>
    <row r="27">
      <c r="A27" s="32" t="inlineStr">
        <is>
          <t>17_nodes_actual</t>
        </is>
      </c>
      <c r="B27" s="31" t="inlineStr">
        <is>
          <t>Чистая фактическая проекция n.* узлов из master</t>
        </is>
      </c>
    </row>
    <row r="28">
      <c r="A28" s="31" t="inlineStr">
        <is>
          <t>18_event_state_nodes_actual</t>
        </is>
      </c>
      <c r="B28" s="31" t="inlineStr">
        <is>
          <t>Чистая фактическая проекция ev.* и st.* узлов из master</t>
        </is>
      </c>
    </row>
    <row r="29">
      <c r="A29" s="31" t="inlineStr">
        <is>
          <t>19_principles_actual</t>
        </is>
      </c>
      <c r="B29" s="31" t="inlineStr">
        <is>
          <t>Чистая фактическая проекция principle-слоя из master</t>
        </is>
      </c>
    </row>
    <row r="30">
      <c r="A30" s="4" t="n"/>
      <c r="B30" s="4" t="n"/>
    </row>
  </sheetData>
  <mergeCells count="5">
    <mergeCell ref="B7:I7"/>
    <mergeCell ref="B6:I6"/>
    <mergeCell ref="B5:I5"/>
    <mergeCell ref="B8:I8"/>
    <mergeCell ref="B4:I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44" customWidth="1" min="4" max="4"/>
    <col width="36" customWidth="1" min="5" max="5"/>
    <col width="32" customWidth="1" min="6" max="6"/>
    <col width="28" customWidth="1" min="7" max="7"/>
  </cols>
  <sheetData>
    <row r="1" ht="20" customHeight="1">
      <c r="A1" s="35" t="inlineStr">
        <is>
          <t>Порядок прохода по книге</t>
        </is>
      </c>
    </row>
    <row r="2" ht="20" customHeight="1">
      <c r="A2" s="36" t="inlineStr">
        <is>
          <t>Как проходить корпус волнами: от адреса и witness-слоя до principles, principle edges и generated serving views</t>
        </is>
      </c>
    </row>
    <row r="3" ht="20" customHeight="1"/>
    <row r="4" ht="34" customHeight="1">
      <c r="A4" s="34" t="inlineStr">
        <is>
          <t>Режим работы</t>
        </is>
      </c>
      <c r="B4" s="31" t="inlineStr">
        <is>
          <t>Сначала горизонтальная волна: покрыть корпус простыми и устойчивыми таблицами. Потом вертикальная волна: углублять плотные места и подключать governance.</t>
        </is>
      </c>
    </row>
    <row r="5" ht="34" customHeight="1">
      <c r="A5" s="34" t="inlineStr">
        <is>
          <t>Тактическое правило</t>
        </is>
      </c>
      <c r="B5" s="31" t="inlineStr">
        <is>
          <t>Не ждать идеальной системы. Заполнять ядро широко, а сложные таблицы рождать по триггерам.</t>
        </is>
      </c>
    </row>
    <row r="6" ht="34" customHeight="1">
      <c r="A6" s="34" t="inlineStr">
        <is>
          <t>Практический ритм</t>
        </is>
      </c>
      <c r="B6" s="31" t="inlineStr">
        <is>
          <t>Новый фрагмент -&gt; corpus_map -&gt; witnesses -&gt; segments -&gt; nodes -&gt; event_state_nodes -&gt; source/bridge edges -&gt; translation_tensions -&gt; witness_glosses -&gt; principles -&gt; principle edges -&gt; generated master -&gt; coverage/actual views.</t>
        </is>
      </c>
    </row>
    <row r="7" ht="20" customHeight="1"/>
    <row r="8" ht="20" customHeight="1"/>
    <row r="9" ht="28" customHeight="1">
      <c r="A9" s="37" t="inlineStr">
        <is>
          <t>Шаг</t>
        </is>
      </c>
      <c r="B9" s="37" t="inlineStr">
        <is>
          <t>Волна</t>
        </is>
      </c>
      <c r="C9" s="37" t="inlineStr">
        <is>
          <t>Что делаем</t>
        </is>
      </c>
      <c r="D9" s="37" t="inlineStr">
        <is>
          <t>Какие таблицы трогаем</t>
        </is>
      </c>
      <c r="E9" s="37" t="inlineStr">
        <is>
          <t>Минимальный результат</t>
        </is>
      </c>
      <c r="F9" s="37" t="inlineStr">
        <is>
          <t>Стоп-условие</t>
        </is>
      </c>
      <c r="G9" s="37" t="inlineStr">
        <is>
          <t>Что рождаем потом</t>
        </is>
      </c>
    </row>
    <row r="10" ht="28" customHeight="1">
      <c r="A10" s="38" t="n">
        <v>1</v>
      </c>
      <c r="B10" s="38" t="inlineStr">
        <is>
          <t>горизонтальная</t>
        </is>
      </c>
      <c r="C10" s="38" t="inlineStr">
        <is>
          <t>Заводим адрес корпуса</t>
        </is>
      </c>
      <c r="D10" s="38" t="inlineStr">
        <is>
          <t>corpus_map</t>
        </is>
      </c>
      <c r="E10" s="38" t="inlineStr">
        <is>
          <t>У каждого нового куска есть source_secondary и sort_key</t>
        </is>
      </c>
      <c r="F10" s="38" t="inlineStr">
        <is>
          <t>Адрес стабилен и не плавает</t>
        </is>
      </c>
      <c r="G10" s="38" t="inlineStr">
        <is>
          <t>witnesses</t>
        </is>
      </c>
    </row>
    <row r="11" ht="28" customHeight="1">
      <c r="A11" s="39" t="n">
        <v>2</v>
      </c>
      <c r="B11" s="39" t="inlineStr">
        <is>
          <t>горизонтальная</t>
        </is>
      </c>
      <c r="C11" s="39" t="inlineStr">
        <is>
          <t>Фиксируем текстовых свидетелей</t>
        </is>
      </c>
      <c r="D11" s="39" t="inlineStr">
        <is>
          <t>witnesses</t>
        </is>
      </c>
      <c r="E11" s="39" t="inlineStr">
        <is>
          <t>Понятно, кто canonical, кто working_translation, кто bridge</t>
        </is>
      </c>
      <c r="F11" s="39" t="inlineStr">
        <is>
          <t>У каждого текста есть witness_id и witness_role</t>
        </is>
      </c>
      <c r="G11" s="39" t="inlineStr">
        <is>
          <t>segments</t>
        </is>
      </c>
    </row>
    <row r="12" ht="28" customHeight="1">
      <c r="A12" s="38" t="n">
        <v>3</v>
      </c>
      <c r="B12" s="38" t="inlineStr">
        <is>
          <t>горизонтальная</t>
        </is>
      </c>
      <c r="C12" s="38" t="inlineStr">
        <is>
          <t>Режем на shared segments</t>
        </is>
      </c>
      <c r="D12" s="38" t="inlineStr">
        <is>
          <t>segments</t>
        </is>
      </c>
      <c r="E12" s="38" t="inlineStr">
        <is>
          <t>Есть spine: paragraph_anchor, segment_id, witness_scope</t>
        </is>
      </c>
      <c r="F12" s="38" t="inlineStr">
        <is>
          <t>Можно сослаться на любой кусок текста</t>
        </is>
      </c>
      <c r="G12" s="38" t="inlineStr">
        <is>
          <t>nodes</t>
        </is>
      </c>
    </row>
    <row r="13" ht="28" customHeight="1">
      <c r="A13" s="39" t="n">
        <v>4</v>
      </c>
      <c r="B13" s="39" t="inlineStr">
        <is>
          <t>горизонтальная</t>
        </is>
      </c>
      <c r="C13" s="39" t="inlineStr">
        <is>
          <t>Выделяем переиспользуемые узлы</t>
        </is>
      </c>
      <c r="D13" s="39" t="inlineStr">
        <is>
          <t>nodes</t>
        </is>
      </c>
      <c r="E13" s="39" t="inlineStr">
        <is>
          <t>Сущности, места, символы, понятия получили node_id</t>
        </is>
      </c>
      <c r="F13" s="39" t="inlineStr">
        <is>
          <t>Нет лишних дублей смыслов</t>
        </is>
      </c>
      <c r="G13" s="39" t="inlineStr">
        <is>
          <t>event_state_nodes</t>
        </is>
      </c>
    </row>
    <row r="14" ht="28" customHeight="1">
      <c r="A14" s="38" t="n">
        <v>5</v>
      </c>
      <c r="B14" s="38" t="inlineStr">
        <is>
          <t>горизонтальная</t>
        </is>
      </c>
      <c r="C14" s="38" t="inlineStr">
        <is>
          <t>Выделяем события и состояния</t>
        </is>
      </c>
      <c r="D14" s="38" t="inlineStr">
        <is>
          <t>event_state_nodes</t>
        </is>
      </c>
      <c r="E14" s="38" t="inlineStr">
        <is>
          <t>Сложные строки получили es_id и explicit anchor contract</t>
        </is>
      </c>
      <c r="F14" s="38" t="inlineStr">
        <is>
          <t>Тройки больше не ломаются на простоте</t>
        </is>
      </c>
      <c r="G14" s="38" t="inlineStr">
        <is>
          <t>edges</t>
        </is>
      </c>
    </row>
    <row r="15" ht="28" customHeight="1">
      <c r="A15" s="39" t="n">
        <v>6</v>
      </c>
      <c r="B15" s="39" t="inlineStr">
        <is>
          <t>горизонтальная</t>
        </is>
      </c>
      <c r="C15" s="39" t="inlineStr">
        <is>
          <t>Строим source/bridge relations</t>
        </is>
      </c>
      <c r="D15" s="39" t="inlineStr">
        <is>
          <t>edges</t>
        </is>
      </c>
      <c r="E15" s="39" t="inlineStr">
        <is>
          <t>Есть базовый граф и anchors</t>
        </is>
      </c>
      <c r="F15" s="39" t="inlineStr">
        <is>
          <t>Можно собрать минимальный reasoning path</t>
        </is>
      </c>
      <c r="G15" s="39" t="inlineStr">
        <is>
          <t>translation_tensions</t>
        </is>
      </c>
    </row>
    <row r="16" ht="28" customHeight="1">
      <c r="A16" s="38" t="n">
        <v>7</v>
      </c>
      <c r="B16" s="38" t="inlineStr">
        <is>
          <t>горизонтальная+</t>
        </is>
      </c>
      <c r="C16" s="38" t="inlineStr">
        <is>
          <t>Фиксируем нагрузочные дрейфы перевода</t>
        </is>
      </c>
      <c r="D16" s="38" t="inlineStr">
        <is>
          <t>translation_tensions</t>
        </is>
      </c>
      <c r="E16" s="38" t="inlineStr">
        <is>
          <t>Пойманы только философски значимые tension points</t>
        </is>
      </c>
      <c r="F16" s="38" t="inlineStr">
        <is>
          <t>Нет шума из мелкой стилистики</t>
        </is>
      </c>
      <c r="G16" s="38" t="inlineStr">
        <is>
          <t>witness_glosses или следующий фрагмент</t>
        </is>
      </c>
    </row>
    <row r="17" ht="28" customHeight="1">
      <c r="A17" s="39" t="n">
        <v>8</v>
      </c>
      <c r="B17" s="39" t="inlineStr">
        <is>
          <t>вертикальная</t>
        </is>
      </c>
      <c r="C17" s="39" t="inlineStr">
        <is>
          <t>Сохраняем лексические поверхности</t>
        </is>
      </c>
      <c r="D17" s="39" t="inlineStr">
        <is>
          <t>witness_glosses</t>
        </is>
      </c>
      <c r="E17" s="39" t="inlineStr">
        <is>
          <t>Есть long-model gloss rows</t>
        </is>
      </c>
      <c r="F17" s="39" t="inlineStr">
        <is>
          <t>Glosses работают как мост к witness-форме</t>
        </is>
      </c>
      <c r="G17" s="39" t="inlineStr">
        <is>
          <t>principles</t>
        </is>
      </c>
    </row>
    <row r="18" ht="28" customHeight="1">
      <c r="A18" s="38" t="n">
        <v>9</v>
      </c>
      <c r="B18" s="38" t="inlineStr">
        <is>
          <t>вертикальная</t>
        </is>
      </c>
      <c r="C18" s="38" t="inlineStr">
        <is>
          <t>Снимаем принципы и commentary</t>
        </is>
      </c>
      <c r="D18" s="38" t="inlineStr">
        <is>
          <t>principles</t>
        </is>
      </c>
      <c r="E18" s="38" t="inlineStr">
        <is>
          <t>Есть distilled principles и authored commentary</t>
        </is>
      </c>
      <c r="F18" s="38" t="inlineStr">
        <is>
          <t>Принципы не маскируются под source fact</t>
        </is>
      </c>
      <c r="G18" s="38" t="inlineStr">
        <is>
          <t>principle edges</t>
        </is>
      </c>
    </row>
    <row r="19" ht="28" customHeight="1">
      <c r="A19" s="39" t="n">
        <v>10</v>
      </c>
      <c r="B19" s="39" t="inlineStr">
        <is>
          <t>вертикальная</t>
        </is>
      </c>
      <c r="C19" s="39" t="inlineStr">
        <is>
          <t>Нормализуем поддержку принципов как edges</t>
        </is>
      </c>
      <c r="D19" s="39" t="inlineStr">
        <is>
          <t>edges (principle_edge)</t>
        </is>
      </c>
      <c r="E19" s="39" t="inlineStr">
        <is>
          <t>Support живет в графе, а не в pipe-list inside principles</t>
        </is>
      </c>
      <c r="F19" s="39" t="inlineStr">
        <is>
          <t>Связи queryable и не дублируются</t>
        </is>
      </c>
      <c r="G19" s="39" t="inlineStr">
        <is>
          <t>generated master</t>
        </is>
      </c>
    </row>
    <row r="20" ht="28" customHeight="1">
      <c r="A20" s="38" t="n">
        <v>11</v>
      </c>
      <c r="B20" s="38" t="inlineStr">
        <is>
          <t>serving</t>
        </is>
      </c>
      <c r="C20" s="38" t="inlineStr">
        <is>
          <t>Генерируем denormalized relation view</t>
        </is>
      </c>
      <c r="D20" s="38" t="inlineStr">
        <is>
          <t>master_view</t>
        </is>
      </c>
      <c r="E20" s="38" t="inlineStr">
        <is>
          <t>Есть единая master-таблица для чтения, аудита и экспорта</t>
        </is>
      </c>
      <c r="F20" s="38" t="inlineStr">
        <is>
          <t>Master не используется как hidden truth-sheet</t>
        </is>
      </c>
      <c r="G20" s="38" t="inlineStr">
        <is>
          <t>coverage_view / actual layers</t>
        </is>
      </c>
    </row>
    <row r="21" ht="28" customHeight="1">
      <c r="A21" s="39" t="n">
        <v>12</v>
      </c>
      <c r="B21" s="39" t="inlineStr">
        <is>
          <t>serving</t>
        </is>
      </c>
      <c r="C21" s="39" t="inlineStr">
        <is>
          <t>Строим аудит покрытия и фактические проекции</t>
        </is>
      </c>
      <c r="D21" s="39" t="inlineStr">
        <is>
          <t>coverage_view; actual layers; registries</t>
        </is>
      </c>
      <c r="E21" s="39" t="inlineStr">
        <is>
          <t>Есть проверка охвата, реестры governance и чистые projections</t>
        </is>
      </c>
      <c r="F21" s="39" t="inlineStr">
        <is>
          <t>Проекции не подменяют source-first authoring</t>
        </is>
      </c>
      <c r="G21" s="39" t="inlineStr">
        <is>
          <t>следующий виток корпуса</t>
        </is>
      </c>
    </row>
    <row r="23" ht="20" customHeight="1">
      <c r="A23" s="34" t="inlineStr">
        <is>
          <t>Трасса генерации v6.1</t>
        </is>
      </c>
    </row>
    <row r="24" ht="34" customHeight="1">
      <c r="A24" s="37" t="inlineStr">
        <is>
          <t>Стадия</t>
        </is>
      </c>
      <c r="B24" s="37" t="inlineStr">
        <is>
          <t>Вход</t>
        </is>
      </c>
      <c r="C24" s="37" t="inlineStr">
        <is>
          <t>Выход</t>
        </is>
      </c>
      <c r="D24" s="37" t="inlineStr">
        <is>
          <t>Правило</t>
        </is>
      </c>
    </row>
    <row r="25" ht="34" customHeight="1">
      <c r="A25" s="38" t="inlineStr">
        <is>
          <t>authoring_base</t>
        </is>
      </c>
      <c r="B25" s="38" t="inlineStr">
        <is>
          <t>02_corpus_map; 03_witnesses; 04_segments; 05_nodes; 06_event_state_nodes; 07_edges; 08_translation_tensions; 09_witness_glosses; 10_principles</t>
        </is>
      </c>
      <c r="C25" s="38" t="inlineStr">
        <is>
          <t>15_Master_связность_1_12</t>
        </is>
      </c>
      <c r="D25" s="38" t="inlineStr">
        <is>
          <t>master_view генерируется как denormalized serving layer; в него не авторят вручную</t>
        </is>
      </c>
    </row>
    <row r="26" ht="34" customHeight="1">
      <c r="A26" s="38" t="inlineStr">
        <is>
          <t>master_view</t>
        </is>
      </c>
      <c r="B26" s="38" t="inlineStr">
        <is>
          <t>15_Master_связность_1_12</t>
        </is>
      </c>
      <c r="C26" s="38" t="inlineStr">
        <is>
          <t>16_Master_покрытие_1_12</t>
        </is>
      </c>
      <c r="D26" s="38" t="inlineStr">
        <is>
          <t>coverage_view считает охват, row_kind, layer и paragraph spans поверх generated master</t>
        </is>
      </c>
    </row>
    <row r="27" ht="34" customHeight="1">
      <c r="A27" s="38" t="inlineStr">
        <is>
          <t>master_view + registries</t>
        </is>
      </c>
      <c r="B27" s="38" t="inlineStr">
        <is>
          <t>15_Master_связность_1_12; 20_predicates_registry; 21_class_registry</t>
        </is>
      </c>
      <c r="C27" s="38" t="inlineStr">
        <is>
          <t>17_nodes_actual; 18_event_state_nodes_actual; 19_principles_actual</t>
        </is>
      </c>
      <c r="D27" s="38" t="inlineStr">
        <is>
          <t>actual-projections читают факты из master, а registries стабилизируют словари</t>
        </is>
      </c>
    </row>
  </sheetData>
  <mergeCells count="3">
    <mergeCell ref="B5:G5"/>
    <mergeCell ref="B4:G4"/>
    <mergeCell ref="B6:G6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39"/>
  <sheetViews>
    <sheetView showGridLines="0" workbookViewId="0">
      <pane xSplit="1" ySplit="11" topLeftCell="B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4" customWidth="1" min="4" max="4"/>
    <col width="18" customWidth="1" min="5" max="5"/>
    <col width="22" customWidth="1" min="6" max="6"/>
    <col width="20" customWidth="1" min="7" max="7"/>
    <col width="32" customWidth="1" min="8" max="8"/>
    <col width="24" customWidth="1" min="9" max="9"/>
    <col width="18" customWidth="1" min="10" max="10"/>
    <col width="18" customWidth="1" min="11" max="11"/>
    <col width="18" customWidth="1" min="12" max="12"/>
    <col width="18" customWidth="1" min="13" max="13"/>
    <col width="8" customWidth="1" min="14" max="14"/>
    <col width="8" customWidth="1" min="15" max="15"/>
    <col width="10" customWidth="1" min="16" max="16"/>
    <col width="14" customWidth="1" min="17" max="17"/>
    <col width="26" customWidth="1" min="18" max="18"/>
    <col width="14" customWidth="1" min="19" max="19"/>
    <col width="18" customWidth="1" min="20" max="20"/>
    <col width="36" customWidth="1" min="21" max="21"/>
  </cols>
  <sheetData>
    <row r="1" ht="24" customHeight="1">
      <c r="A1" s="1" t="inlineStr">
        <is>
          <t>Master_view (generated serving layer) по [1]-[12]</t>
        </is>
      </c>
    </row>
    <row r="2" ht="20" customHeight="1">
      <c r="A2" s="2" t="inlineStr">
        <is>
          <t>DO NOT AUTHOR HERE. Этот лист генерируется из authoring tables и служит для чтения, аудита и экспорта.</t>
        </is>
      </c>
    </row>
    <row r="4">
      <c r="A4" s="3" t="inlineStr">
        <is>
          <t>Назначение</t>
        </is>
      </c>
      <c r="B4" s="4" t="inlineStr">
        <is>
          <t>Свести в одном месте source, bridge и principle relations по [1]-[12] как serving view.</t>
        </is>
      </c>
    </row>
    <row r="5">
      <c r="A5" s="3" t="inlineStr">
        <is>
          <t>Всего строк</t>
        </is>
      </c>
      <c r="B5" s="14">
        <f>COUNTA(A12:A5000)</f>
        <v/>
      </c>
    </row>
    <row r="6">
      <c r="A6" s="3" t="inlineStr">
        <is>
          <t>source_edge</t>
        </is>
      </c>
      <c r="B6" s="14">
        <f>COUNTIF(B12:B5000,"source_edge")</f>
        <v/>
      </c>
    </row>
    <row r="7">
      <c r="A7" s="3" t="inlineStr">
        <is>
          <t>bridge_edge</t>
        </is>
      </c>
      <c r="B7" s="14">
        <f>COUNTIF(B12:B5000,"bridge_edge")</f>
        <v/>
      </c>
    </row>
    <row r="8">
      <c r="A8" s="3" t="inlineStr">
        <is>
          <t>principle_edge</t>
        </is>
      </c>
      <c r="B8" s="14">
        <f>COUNTIF(B12:B5000,"principle_edge")</f>
        <v/>
      </c>
    </row>
    <row r="9">
      <c r="A9" s="3" t="inlineStr">
        <is>
          <t>Как читать</t>
        </is>
      </c>
      <c r="B9" s="4" t="inlineStr">
        <is>
          <t>Фильтруй по row_kind, layer, p_start/p_end, paragraph_tags и connectivity_role; authoring ведется в base sheets, не здесь.</t>
        </is>
      </c>
    </row>
    <row r="11" ht="32" customHeight="1">
      <c r="A11" s="5" t="inlineStr">
        <is>
          <t>master_id</t>
        </is>
      </c>
      <c r="B11" s="5" t="inlineStr">
        <is>
          <t>row_kind</t>
        </is>
      </c>
      <c r="C11" s="5" t="inlineStr">
        <is>
          <t>from_id</t>
        </is>
      </c>
      <c r="D11" s="5" t="inlineStr">
        <is>
          <t>from_label_ru</t>
        </is>
      </c>
      <c r="E11" s="5" t="inlineStr">
        <is>
          <t>from_class</t>
        </is>
      </c>
      <c r="F11" s="5" t="inlineStr">
        <is>
          <t>predicate_id</t>
        </is>
      </c>
      <c r="G11" s="5" t="inlineStr">
        <is>
          <t>predicate_ru</t>
        </is>
      </c>
      <c r="H11" s="5" t="inlineStr">
        <is>
          <t>to_id</t>
        </is>
      </c>
      <c r="I11" s="5" t="inlineStr">
        <is>
          <t>to_label_ru</t>
        </is>
      </c>
      <c r="J11" s="5" t="inlineStr">
        <is>
          <t>to_class</t>
        </is>
      </c>
      <c r="K11" s="5" t="inlineStr">
        <is>
          <t>layer</t>
        </is>
      </c>
      <c r="L11" s="5" t="inlineStr">
        <is>
          <t>source_secondary_start</t>
        </is>
      </c>
      <c r="M11" s="5" t="inlineStr">
        <is>
          <t>source_secondary_end</t>
        </is>
      </c>
      <c r="N11" s="5" t="inlineStr">
        <is>
          <t>p_start</t>
        </is>
      </c>
      <c r="O11" s="5" t="inlineStr">
        <is>
          <t>p_end</t>
        </is>
      </c>
      <c r="P11" s="5" t="inlineStr">
        <is>
          <t>n_range</t>
        </is>
      </c>
      <c r="Q11" s="5" t="inlineStr">
        <is>
          <t>paragraph_tags</t>
        </is>
      </c>
      <c r="R11" s="5" t="inlineStr">
        <is>
          <t>segment_ids</t>
        </is>
      </c>
      <c r="S11" s="5" t="inlineStr">
        <is>
          <t>witness_scope</t>
        </is>
      </c>
      <c r="T11" s="5" t="inlineStr">
        <is>
          <t>connectivity_role</t>
        </is>
      </c>
      <c r="U11" s="5" t="inlineStr">
        <is>
          <t>note_ru</t>
        </is>
      </c>
    </row>
    <row r="12" ht="30" customHeight="1">
      <c r="A12" s="15" t="inlineStr">
        <is>
          <t>m001</t>
        </is>
      </c>
      <c r="B12" s="15" t="inlineStr">
        <is>
          <t>source_edge</t>
        </is>
      </c>
      <c r="C12" s="15" t="inlineStr">
        <is>
          <t>n.zarathustra</t>
        </is>
      </c>
      <c r="D12" s="15" t="inlineStr">
        <is>
          <t>Заратустра</t>
        </is>
      </c>
      <c r="E12" s="15" t="inlineStr">
        <is>
          <t>persona</t>
        </is>
      </c>
      <c r="F12" s="15" t="inlineStr">
        <is>
          <t>participates_in</t>
        </is>
      </c>
      <c r="G12" s="15" t="inlineStr">
        <is>
          <t>участвует в</t>
        </is>
      </c>
      <c r="H12" s="15" t="inlineStr">
        <is>
          <t>ev.p1.departure_from_origin</t>
        </is>
      </c>
      <c r="I12" s="15" t="inlineStr">
        <is>
          <t>уход из родины и озера</t>
        </is>
      </c>
      <c r="J12" s="15" t="inlineStr">
        <is>
          <t>event</t>
        </is>
      </c>
      <c r="K12" s="15" t="inlineStr">
        <is>
          <t>source_linked</t>
        </is>
      </c>
      <c r="L12" s="15" t="inlineStr">
        <is>
          <t>1,1,1,1</t>
        </is>
      </c>
      <c r="M12" s="15" t="inlineStr"/>
      <c r="N12" s="15" t="n">
        <v>1</v>
      </c>
      <c r="O12" s="15" t="n">
        <v>1</v>
      </c>
      <c r="P12" s="15" t="inlineStr">
        <is>
          <t>[1]</t>
        </is>
      </c>
      <c r="Q12" s="15" t="inlineStr">
        <is>
          <t>|p1|</t>
        </is>
      </c>
      <c r="R12" s="15" t="inlineStr">
        <is>
          <t>seg.1.1.1.1</t>
        </is>
      </c>
      <c r="S12" s="15" t="inlineStr">
        <is>
          <t>de+ru+en</t>
        </is>
      </c>
      <c r="T12" s="15" t="inlineStr">
        <is>
          <t>local_chain</t>
        </is>
      </c>
      <c r="U12" s="15" t="inlineStr">
        <is>
          <t>стартовый пространственный разрыв</t>
        </is>
      </c>
    </row>
    <row r="13" ht="30" customHeight="1">
      <c r="A13" s="15" t="inlineStr">
        <is>
          <t>m002</t>
        </is>
      </c>
      <c r="B13" s="15" t="inlineStr">
        <is>
          <t>source_edge</t>
        </is>
      </c>
      <c r="C13" s="15" t="inlineStr">
        <is>
          <t>ev.p1.departure_from_origin</t>
        </is>
      </c>
      <c r="D13" s="15" t="inlineStr">
        <is>
          <t>уход из родины и озера</t>
        </is>
      </c>
      <c r="E13" s="15" t="inlineStr">
        <is>
          <t>event</t>
        </is>
      </c>
      <c r="F13" s="15" t="inlineStr">
        <is>
          <t>leaves</t>
        </is>
      </c>
      <c r="G13" s="15" t="inlineStr">
        <is>
          <t>покидает</t>
        </is>
      </c>
      <c r="H13" s="15" t="inlineStr">
        <is>
          <t>n.homeland</t>
        </is>
      </c>
      <c r="I13" s="15" t="inlineStr">
        <is>
          <t>родина</t>
        </is>
      </c>
      <c r="J13" s="15" t="inlineStr">
        <is>
          <t>place</t>
        </is>
      </c>
      <c r="K13" s="15" t="inlineStr">
        <is>
          <t>source_linked</t>
        </is>
      </c>
      <c r="L13" s="15" t="inlineStr">
        <is>
          <t>1,1,1,1</t>
        </is>
      </c>
      <c r="M13" s="15" t="inlineStr"/>
      <c r="N13" s="15" t="n">
        <v>1</v>
      </c>
      <c r="O13" s="15" t="n">
        <v>1</v>
      </c>
      <c r="P13" s="15" t="inlineStr">
        <is>
          <t>[1]</t>
        </is>
      </c>
      <c r="Q13" s="15" t="inlineStr">
        <is>
          <t>|p1|</t>
        </is>
      </c>
      <c r="R13" s="15" t="inlineStr">
        <is>
          <t>seg.1.1.1.1</t>
        </is>
      </c>
      <c r="S13" s="15" t="inlineStr">
        <is>
          <t>de+ru+en</t>
        </is>
      </c>
      <c r="T13" s="15" t="inlineStr">
        <is>
          <t>local_chain</t>
        </is>
      </c>
      <c r="U13" s="15" t="inlineStr"/>
    </row>
    <row r="14" ht="30" customHeight="1">
      <c r="A14" s="15" t="inlineStr">
        <is>
          <t>m003</t>
        </is>
      </c>
      <c r="B14" s="15" t="inlineStr">
        <is>
          <t>source_edge</t>
        </is>
      </c>
      <c r="C14" s="15" t="inlineStr">
        <is>
          <t>ev.p1.departure_from_origin</t>
        </is>
      </c>
      <c r="D14" s="15" t="inlineStr">
        <is>
          <t>уход из родины и озера</t>
        </is>
      </c>
      <c r="E14" s="15" t="inlineStr">
        <is>
          <t>event</t>
        </is>
      </c>
      <c r="F14" s="15" t="inlineStr">
        <is>
          <t>leaves</t>
        </is>
      </c>
      <c r="G14" s="15" t="inlineStr">
        <is>
          <t>покидает</t>
        </is>
      </c>
      <c r="H14" s="15" t="inlineStr">
        <is>
          <t>n.lake_of_homeland</t>
        </is>
      </c>
      <c r="I14" s="15" t="inlineStr">
        <is>
          <t>озеро родины</t>
        </is>
      </c>
      <c r="J14" s="15" t="inlineStr">
        <is>
          <t>place-symbol</t>
        </is>
      </c>
      <c r="K14" s="15" t="inlineStr">
        <is>
          <t>source_linked</t>
        </is>
      </c>
      <c r="L14" s="15" t="inlineStr">
        <is>
          <t>1,1,1,1</t>
        </is>
      </c>
      <c r="M14" s="15" t="inlineStr"/>
      <c r="N14" s="15" t="n">
        <v>1</v>
      </c>
      <c r="O14" s="15" t="n">
        <v>1</v>
      </c>
      <c r="P14" s="15" t="inlineStr">
        <is>
          <t>[1]</t>
        </is>
      </c>
      <c r="Q14" s="15" t="inlineStr">
        <is>
          <t>|p1|</t>
        </is>
      </c>
      <c r="R14" s="15" t="inlineStr">
        <is>
          <t>seg.1.1.1.1</t>
        </is>
      </c>
      <c r="S14" s="15" t="inlineStr">
        <is>
          <t>de+ru+en</t>
        </is>
      </c>
      <c r="T14" s="15" t="inlineStr">
        <is>
          <t>local_chain</t>
        </is>
      </c>
      <c r="U14" s="15" t="inlineStr"/>
    </row>
    <row r="15" ht="30" customHeight="1">
      <c r="A15" s="15" t="inlineStr">
        <is>
          <t>m004</t>
        </is>
      </c>
      <c r="B15" s="15" t="inlineStr">
        <is>
          <t>source_edge</t>
        </is>
      </c>
      <c r="C15" s="15" t="inlineStr">
        <is>
          <t>ev.p1.departure_from_origin</t>
        </is>
      </c>
      <c r="D15" s="15" t="inlineStr">
        <is>
          <t>уход из родины и озера</t>
        </is>
      </c>
      <c r="E15" s="15" t="inlineStr">
        <is>
          <t>event</t>
        </is>
      </c>
      <c r="F15" s="15" t="inlineStr">
        <is>
          <t>goes_to</t>
        </is>
      </c>
      <c r="G15" s="15" t="inlineStr">
        <is>
          <t>идёт в</t>
        </is>
      </c>
      <c r="H15" s="15" t="inlineStr">
        <is>
          <t>n.mountains</t>
        </is>
      </c>
      <c r="I15" s="15" t="inlineStr">
        <is>
          <t>горы</t>
        </is>
      </c>
      <c r="J15" s="15" t="inlineStr">
        <is>
          <t>place</t>
        </is>
      </c>
      <c r="K15" s="15" t="inlineStr">
        <is>
          <t>source_linked</t>
        </is>
      </c>
      <c r="L15" s="15" t="inlineStr">
        <is>
          <t>1,1,1,1</t>
        </is>
      </c>
      <c r="M15" s="15" t="inlineStr"/>
      <c r="N15" s="15" t="n">
        <v>1</v>
      </c>
      <c r="O15" s="15" t="n">
        <v>1</v>
      </c>
      <c r="P15" s="15" t="inlineStr">
        <is>
          <t>[1]</t>
        </is>
      </c>
      <c r="Q15" s="15" t="inlineStr">
        <is>
          <t>|p1|</t>
        </is>
      </c>
      <c r="R15" s="15" t="inlineStr">
        <is>
          <t>seg.1.1.1.1</t>
        </is>
      </c>
      <c r="S15" s="15" t="inlineStr">
        <is>
          <t>de+ru+en</t>
        </is>
      </c>
      <c r="T15" s="15" t="inlineStr">
        <is>
          <t>local_chain</t>
        </is>
      </c>
      <c r="U15" s="15" t="inlineStr"/>
    </row>
    <row r="16" ht="30" customHeight="1">
      <c r="A16" s="15" t="inlineStr">
        <is>
          <t>m005</t>
        </is>
      </c>
      <c r="B16" s="15" t="inlineStr">
        <is>
          <t>source_edge</t>
        </is>
      </c>
      <c r="C16" s="15" t="inlineStr">
        <is>
          <t>n.zarathustra</t>
        </is>
      </c>
      <c r="D16" s="15" t="inlineStr">
        <is>
          <t>Заратустра</t>
        </is>
      </c>
      <c r="E16" s="15" t="inlineStr">
        <is>
          <t>persona</t>
        </is>
      </c>
      <c r="F16" s="15" t="inlineStr">
        <is>
          <t>enters_state</t>
        </is>
      </c>
      <c r="G16" s="15" t="inlineStr">
        <is>
          <t>входит в состояние</t>
        </is>
      </c>
      <c r="H16" s="15" t="inlineStr">
        <is>
          <t>st.p1.solitary_ripening_10y</t>
        </is>
      </c>
      <c r="I16" s="15" t="inlineStr">
        <is>
          <t>десятилетнее горное уединение</t>
        </is>
      </c>
      <c r="J16" s="15" t="inlineStr">
        <is>
          <t>state</t>
        </is>
      </c>
      <c r="K16" s="15" t="inlineStr">
        <is>
          <t>source_linked</t>
        </is>
      </c>
      <c r="L16" s="15" t="inlineStr">
        <is>
          <t>1,1,1,1</t>
        </is>
      </c>
      <c r="M16" s="15" t="inlineStr"/>
      <c r="N16" s="15" t="n">
        <v>1</v>
      </c>
      <c r="O16" s="15" t="n">
        <v>1</v>
      </c>
      <c r="P16" s="15" t="inlineStr">
        <is>
          <t>[1]</t>
        </is>
      </c>
      <c r="Q16" s="15" t="inlineStr">
        <is>
          <t>|p1|</t>
        </is>
      </c>
      <c r="R16" s="15" t="inlineStr">
        <is>
          <t>seg.1.1.1.1</t>
        </is>
      </c>
      <c r="S16" s="15" t="inlineStr">
        <is>
          <t>de+ru+en</t>
        </is>
      </c>
      <c r="T16" s="15" t="inlineStr">
        <is>
          <t>local_chain</t>
        </is>
      </c>
      <c r="U16" s="15" t="inlineStr">
        <is>
          <t>десятилетнее уединение как состояние</t>
        </is>
      </c>
    </row>
    <row r="17" ht="30" customHeight="1">
      <c r="A17" s="15" t="inlineStr">
        <is>
          <t>m006</t>
        </is>
      </c>
      <c r="B17" s="15" t="inlineStr">
        <is>
          <t>source_edge</t>
        </is>
      </c>
      <c r="C17" s="15" t="inlineStr">
        <is>
          <t>st.p1.solitary_ripening_10y</t>
        </is>
      </c>
      <c r="D17" s="15" t="inlineStr">
        <is>
          <t>десятилетнее горное уединение</t>
        </is>
      </c>
      <c r="E17" s="15" t="inlineStr">
        <is>
          <t>state</t>
        </is>
      </c>
      <c r="F17" s="15" t="inlineStr">
        <is>
          <t>delights_in</t>
        </is>
      </c>
      <c r="G17" s="15" t="inlineStr">
        <is>
          <t>вкушает / наслаждается</t>
        </is>
      </c>
      <c r="H17" s="15" t="inlineStr">
        <is>
          <t>n.spirit</t>
        </is>
      </c>
      <c r="I17" s="15" t="inlineStr">
        <is>
          <t>дух</t>
        </is>
      </c>
      <c r="J17" s="15" t="inlineStr">
        <is>
          <t>inner_resource</t>
        </is>
      </c>
      <c r="K17" s="15" t="inlineStr">
        <is>
          <t>source_linked</t>
        </is>
      </c>
      <c r="L17" s="15" t="inlineStr">
        <is>
          <t>1,1,1,1</t>
        </is>
      </c>
      <c r="M17" s="15" t="inlineStr"/>
      <c r="N17" s="15" t="n">
        <v>1</v>
      </c>
      <c r="O17" s="15" t="n">
        <v>1</v>
      </c>
      <c r="P17" s="15" t="inlineStr">
        <is>
          <t>[1]</t>
        </is>
      </c>
      <c r="Q17" s="15" t="inlineStr">
        <is>
          <t>|p1|</t>
        </is>
      </c>
      <c r="R17" s="15" t="inlineStr">
        <is>
          <t>seg.1.1.1.1</t>
        </is>
      </c>
      <c r="S17" s="15" t="inlineStr">
        <is>
          <t>de+ru+en</t>
        </is>
      </c>
      <c r="T17" s="15" t="inlineStr">
        <is>
          <t>local_chain</t>
        </is>
      </c>
      <c r="U17" s="15" t="inlineStr"/>
    </row>
    <row r="18" ht="30" customHeight="1">
      <c r="A18" s="15" t="inlineStr">
        <is>
          <t>m007</t>
        </is>
      </c>
      <c r="B18" s="15" t="inlineStr">
        <is>
          <t>source_edge</t>
        </is>
      </c>
      <c r="C18" s="15" t="inlineStr">
        <is>
          <t>st.p1.solitary_ripening_10y</t>
        </is>
      </c>
      <c r="D18" s="15" t="inlineStr">
        <is>
          <t>десятилетнее горное уединение</t>
        </is>
      </c>
      <c r="E18" s="15" t="inlineStr">
        <is>
          <t>state</t>
        </is>
      </c>
      <c r="F18" s="15" t="inlineStr">
        <is>
          <t>delights_in</t>
        </is>
      </c>
      <c r="G18" s="15" t="inlineStr">
        <is>
          <t>вкушает / наслаждается</t>
        </is>
      </c>
      <c r="H18" s="15" t="inlineStr">
        <is>
          <t>n.solitude</t>
        </is>
      </c>
      <c r="I18" s="15" t="inlineStr">
        <is>
          <t>одиночество / уединение</t>
        </is>
      </c>
      <c r="J18" s="15" t="inlineStr">
        <is>
          <t>state-concept</t>
        </is>
      </c>
      <c r="K18" s="15" t="inlineStr">
        <is>
          <t>source_linked</t>
        </is>
      </c>
      <c r="L18" s="15" t="inlineStr">
        <is>
          <t>1,1,1,1</t>
        </is>
      </c>
      <c r="M18" s="15" t="inlineStr"/>
      <c r="N18" s="15" t="n">
        <v>1</v>
      </c>
      <c r="O18" s="15" t="n">
        <v>1</v>
      </c>
      <c r="P18" s="15" t="inlineStr">
        <is>
          <t>[1]</t>
        </is>
      </c>
      <c r="Q18" s="15" t="inlineStr">
        <is>
          <t>|p1|</t>
        </is>
      </c>
      <c r="R18" s="15" t="inlineStr">
        <is>
          <t>seg.1.1.1.1</t>
        </is>
      </c>
      <c r="S18" s="15" t="inlineStr">
        <is>
          <t>de+ru+en</t>
        </is>
      </c>
      <c r="T18" s="15" t="inlineStr">
        <is>
          <t>local_chain</t>
        </is>
      </c>
      <c r="U18" s="15" t="inlineStr"/>
    </row>
    <row r="19" ht="30" customHeight="1">
      <c r="A19" s="15" t="inlineStr">
        <is>
          <t>m008</t>
        </is>
      </c>
      <c r="B19" s="15" t="inlineStr">
        <is>
          <t>source_edge</t>
        </is>
      </c>
      <c r="C19" s="15" t="inlineStr">
        <is>
          <t>st.p1.solitary_ripening_10y</t>
        </is>
      </c>
      <c r="D19" s="15" t="inlineStr">
        <is>
          <t>десятилетнее горное уединение</t>
        </is>
      </c>
      <c r="E19" s="15" t="inlineStr">
        <is>
          <t>state</t>
        </is>
      </c>
      <c r="F19" s="15" t="inlineStr">
        <is>
          <t>duration</t>
        </is>
      </c>
      <c r="G19" s="15" t="inlineStr">
        <is>
          <t>имеет длительность</t>
        </is>
      </c>
      <c r="H19" s="15" t="inlineStr">
        <is>
          <t>literal.ten_years</t>
        </is>
      </c>
      <c r="I19" s="15" t="inlineStr">
        <is>
          <t>десять лет</t>
        </is>
      </c>
      <c r="J19" s="15" t="inlineStr">
        <is>
          <t>literal</t>
        </is>
      </c>
      <c r="K19" s="15" t="inlineStr">
        <is>
          <t>source_linked</t>
        </is>
      </c>
      <c r="L19" s="15" t="inlineStr">
        <is>
          <t>1,1,1,1</t>
        </is>
      </c>
      <c r="M19" s="15" t="inlineStr"/>
      <c r="N19" s="15" t="n">
        <v>1</v>
      </c>
      <c r="O19" s="15" t="n">
        <v>1</v>
      </c>
      <c r="P19" s="15" t="inlineStr">
        <is>
          <t>[1]</t>
        </is>
      </c>
      <c r="Q19" s="15" t="inlineStr">
        <is>
          <t>|p1|</t>
        </is>
      </c>
      <c r="R19" s="15" t="inlineStr">
        <is>
          <t>seg.1.1.1.1</t>
        </is>
      </c>
      <c r="S19" s="15" t="inlineStr">
        <is>
          <t>de+ru+en</t>
        </is>
      </c>
      <c r="T19" s="15" t="inlineStr">
        <is>
          <t>local_chain</t>
        </is>
      </c>
      <c r="U19" s="15" t="inlineStr"/>
    </row>
    <row r="20" ht="30" customHeight="1">
      <c r="A20" s="16" t="inlineStr">
        <is>
          <t>m009</t>
        </is>
      </c>
      <c r="B20" s="16" t="inlineStr">
        <is>
          <t>bridge_edge</t>
        </is>
      </c>
      <c r="C20" s="16" t="inlineStr">
        <is>
          <t>st.p1.solitary_ripening_10y</t>
        </is>
      </c>
      <c r="D20" s="16" t="inlineStr">
        <is>
          <t>десятилетнее горное уединение</t>
        </is>
      </c>
      <c r="E20" s="16" t="inlineStr">
        <is>
          <t>state</t>
        </is>
      </c>
      <c r="F20" s="16" t="inlineStr">
        <is>
          <t>leads_to</t>
        </is>
      </c>
      <c r="G20" s="16" t="inlineStr">
        <is>
          <t>ведёт к</t>
        </is>
      </c>
      <c r="H20" s="16" t="inlineStr">
        <is>
          <t>ev.p1.heart_transformation</t>
        </is>
      </c>
      <c r="I20" s="16" t="inlineStr">
        <is>
          <t>преображение сердца</t>
        </is>
      </c>
      <c r="J20" s="16" t="inlineStr">
        <is>
          <t>event</t>
        </is>
      </c>
      <c r="K20" s="16" t="inlineStr">
        <is>
          <t>source_linked</t>
        </is>
      </c>
      <c r="L20" s="16" t="inlineStr">
        <is>
          <t>1,1,1,1</t>
        </is>
      </c>
      <c r="M20" s="16" t="inlineStr"/>
      <c r="N20" s="16" t="n">
        <v>1</v>
      </c>
      <c r="O20" s="16" t="n">
        <v>1</v>
      </c>
      <c r="P20" s="16" t="inlineStr">
        <is>
          <t>[1]</t>
        </is>
      </c>
      <c r="Q20" s="16" t="inlineStr">
        <is>
          <t>|p1|</t>
        </is>
      </c>
      <c r="R20" s="16" t="inlineStr">
        <is>
          <t>seg.1.1.1.1</t>
        </is>
      </c>
      <c r="S20" s="16" t="inlineStr">
        <is>
          <t>de+ru+en</t>
        </is>
      </c>
      <c r="T20" s="16" t="inlineStr">
        <is>
          <t>reasoning_bridge</t>
        </is>
      </c>
      <c r="U20" s="16" t="inlineStr">
        <is>
          <t>созревание ведет к внутреннему повороту</t>
        </is>
      </c>
    </row>
    <row r="21" ht="30" customHeight="1">
      <c r="A21" s="15" t="inlineStr">
        <is>
          <t>m010</t>
        </is>
      </c>
      <c r="B21" s="15" t="inlineStr">
        <is>
          <t>source_edge</t>
        </is>
      </c>
      <c r="C21" s="15" t="inlineStr">
        <is>
          <t>ev.p1.heart_transformation</t>
        </is>
      </c>
      <c r="D21" s="15" t="inlineStr">
        <is>
          <t>преображение сердца</t>
        </is>
      </c>
      <c r="E21" s="15" t="inlineStr">
        <is>
          <t>event</t>
        </is>
      </c>
      <c r="F21" s="15" t="inlineStr">
        <is>
          <t>affects</t>
        </is>
      </c>
      <c r="G21" s="15" t="inlineStr">
        <is>
          <t>затрагивает</t>
        </is>
      </c>
      <c r="H21" s="15" t="inlineStr">
        <is>
          <t>n.heart</t>
        </is>
      </c>
      <c r="I21" s="15" t="inlineStr">
        <is>
          <t>сердце</t>
        </is>
      </c>
      <c r="J21" s="15" t="inlineStr">
        <is>
          <t>inner_center</t>
        </is>
      </c>
      <c r="K21" s="15" t="inlineStr">
        <is>
          <t>source_linked</t>
        </is>
      </c>
      <c r="L21" s="15" t="inlineStr">
        <is>
          <t>1,1,1,1</t>
        </is>
      </c>
      <c r="M21" s="15" t="inlineStr"/>
      <c r="N21" s="15" t="n">
        <v>1</v>
      </c>
      <c r="O21" s="15" t="n">
        <v>1</v>
      </c>
      <c r="P21" s="15" t="inlineStr">
        <is>
          <t>[1]</t>
        </is>
      </c>
      <c r="Q21" s="15" t="inlineStr">
        <is>
          <t>|p1|</t>
        </is>
      </c>
      <c r="R21" s="15" t="inlineStr">
        <is>
          <t>seg.1.1.1.1</t>
        </is>
      </c>
      <c r="S21" s="15" t="inlineStr">
        <is>
          <t>de+ru+en</t>
        </is>
      </c>
      <c r="T21" s="15" t="inlineStr">
        <is>
          <t>local_chain</t>
        </is>
      </c>
      <c r="U21" s="15" t="inlineStr"/>
    </row>
    <row r="22" ht="30" customHeight="1">
      <c r="A22" s="16" t="inlineStr">
        <is>
          <t>m011</t>
        </is>
      </c>
      <c r="B22" s="16" t="inlineStr">
        <is>
          <t>bridge_edge</t>
        </is>
      </c>
      <c r="C22" s="16" t="inlineStr">
        <is>
          <t>ev.p1.heart_transformation</t>
        </is>
      </c>
      <c r="D22" s="16" t="inlineStr">
        <is>
          <t>преображение сердца</t>
        </is>
      </c>
      <c r="E22" s="16" t="inlineStr">
        <is>
          <t>event</t>
        </is>
      </c>
      <c r="F22" s="16" t="inlineStr">
        <is>
          <t>prepares</t>
        </is>
      </c>
      <c r="G22" s="16" t="inlineStr">
        <is>
          <t>подготавливает</t>
        </is>
      </c>
      <c r="H22" s="16" t="inlineStr">
        <is>
          <t>ev.p1.dawn_address_to_sun</t>
        </is>
      </c>
      <c r="I22" s="16" t="inlineStr">
        <is>
          <t>утреннее обращение к солнцу</t>
        </is>
      </c>
      <c r="J22" s="16" t="inlineStr">
        <is>
          <t>event</t>
        </is>
      </c>
      <c r="K22" s="16" t="inlineStr">
        <is>
          <t>source_linked</t>
        </is>
      </c>
      <c r="L22" s="16" t="inlineStr">
        <is>
          <t>1,1,1,1</t>
        </is>
      </c>
      <c r="M22" s="16" t="inlineStr"/>
      <c r="N22" s="16" t="n">
        <v>1</v>
      </c>
      <c r="O22" s="16" t="n">
        <v>1</v>
      </c>
      <c r="P22" s="16" t="inlineStr">
        <is>
          <t>[1]</t>
        </is>
      </c>
      <c r="Q22" s="16" t="inlineStr">
        <is>
          <t>|p1|</t>
        </is>
      </c>
      <c r="R22" s="16" t="inlineStr">
        <is>
          <t>seg.1.1.1.1</t>
        </is>
      </c>
      <c r="S22" s="16" t="inlineStr">
        <is>
          <t>de+ru+en</t>
        </is>
      </c>
      <c r="T22" s="16" t="inlineStr">
        <is>
          <t>reasoning_bridge</t>
        </is>
      </c>
      <c r="U22" s="16" t="inlineStr"/>
    </row>
    <row r="23" ht="30" customHeight="1">
      <c r="A23" s="15" t="inlineStr">
        <is>
          <t>m012</t>
        </is>
      </c>
      <c r="B23" s="15" t="inlineStr">
        <is>
          <t>source_edge</t>
        </is>
      </c>
      <c r="C23" s="15" t="inlineStr">
        <is>
          <t>n.zarathustra</t>
        </is>
      </c>
      <c r="D23" s="15" t="inlineStr">
        <is>
          <t>Заратустра</t>
        </is>
      </c>
      <c r="E23" s="15" t="inlineStr">
        <is>
          <t>persona</t>
        </is>
      </c>
      <c r="F23" s="15" t="inlineStr">
        <is>
          <t>performs</t>
        </is>
      </c>
      <c r="G23" s="15" t="inlineStr">
        <is>
          <t>совершает</t>
        </is>
      </c>
      <c r="H23" s="15" t="inlineStr">
        <is>
          <t>ev.p1.dawn_address_to_sun</t>
        </is>
      </c>
      <c r="I23" s="15" t="inlineStr">
        <is>
          <t>утреннее обращение к солнцу</t>
        </is>
      </c>
      <c r="J23" s="15" t="inlineStr">
        <is>
          <t>event</t>
        </is>
      </c>
      <c r="K23" s="15" t="inlineStr">
        <is>
          <t>source_linked</t>
        </is>
      </c>
      <c r="L23" s="15" t="inlineStr">
        <is>
          <t>1,1,1,1</t>
        </is>
      </c>
      <c r="M23" s="15" t="inlineStr"/>
      <c r="N23" s="15" t="n">
        <v>1</v>
      </c>
      <c r="O23" s="15" t="n">
        <v>1</v>
      </c>
      <c r="P23" s="15" t="inlineStr">
        <is>
          <t>[1]</t>
        </is>
      </c>
      <c r="Q23" s="15" t="inlineStr">
        <is>
          <t>|p1|</t>
        </is>
      </c>
      <c r="R23" s="15" t="inlineStr">
        <is>
          <t>seg.1.1.1.1</t>
        </is>
      </c>
      <c r="S23" s="15" t="inlineStr">
        <is>
          <t>de+ru+en</t>
        </is>
      </c>
      <c r="T23" s="15" t="inlineStr">
        <is>
          <t>local_chain</t>
        </is>
      </c>
      <c r="U23" s="15" t="inlineStr"/>
    </row>
    <row r="24" ht="30" customHeight="1">
      <c r="A24" s="15" t="inlineStr">
        <is>
          <t>m013</t>
        </is>
      </c>
      <c r="B24" s="15" t="inlineStr">
        <is>
          <t>source_edge</t>
        </is>
      </c>
      <c r="C24" s="15" t="inlineStr">
        <is>
          <t>ev.p1.dawn_address_to_sun</t>
        </is>
      </c>
      <c r="D24" s="15" t="inlineStr">
        <is>
          <t>утреннее обращение к солнцу</t>
        </is>
      </c>
      <c r="E24" s="15" t="inlineStr">
        <is>
          <t>event</t>
        </is>
      </c>
      <c r="F24" s="15" t="inlineStr">
        <is>
          <t>occurs_with</t>
        </is>
      </c>
      <c r="G24" s="15" t="inlineStr">
        <is>
          <t>происходит вместе с</t>
        </is>
      </c>
      <c r="H24" s="15" t="inlineStr">
        <is>
          <t>n.dawn</t>
        </is>
      </c>
      <c r="I24" s="15" t="inlineStr">
        <is>
          <t>заря</t>
        </is>
      </c>
      <c r="J24" s="15" t="inlineStr">
        <is>
          <t>time-symbol</t>
        </is>
      </c>
      <c r="K24" s="15" t="inlineStr">
        <is>
          <t>source_linked</t>
        </is>
      </c>
      <c r="L24" s="15" t="inlineStr">
        <is>
          <t>1,1,1,1</t>
        </is>
      </c>
      <c r="M24" s="15" t="inlineStr"/>
      <c r="N24" s="15" t="n">
        <v>1</v>
      </c>
      <c r="O24" s="15" t="n">
        <v>1</v>
      </c>
      <c r="P24" s="15" t="inlineStr">
        <is>
          <t>[1]</t>
        </is>
      </c>
      <c r="Q24" s="15" t="inlineStr">
        <is>
          <t>|p1|</t>
        </is>
      </c>
      <c r="R24" s="15" t="inlineStr">
        <is>
          <t>seg.1.1.1.1</t>
        </is>
      </c>
      <c r="S24" s="15" t="inlineStr">
        <is>
          <t>de+ru+en</t>
        </is>
      </c>
      <c r="T24" s="15" t="inlineStr">
        <is>
          <t>local_chain</t>
        </is>
      </c>
      <c r="U24" s="15" t="inlineStr"/>
    </row>
    <row r="25" ht="30" customHeight="1">
      <c r="A25" s="15" t="inlineStr">
        <is>
          <t>m014</t>
        </is>
      </c>
      <c r="B25" s="15" t="inlineStr">
        <is>
          <t>source_edge</t>
        </is>
      </c>
      <c r="C25" s="15" t="inlineStr">
        <is>
          <t>ev.p1.dawn_address_to_sun</t>
        </is>
      </c>
      <c r="D25" s="15" t="inlineStr">
        <is>
          <t>утреннее обращение к солнцу</t>
        </is>
      </c>
      <c r="E25" s="15" t="inlineStr">
        <is>
          <t>event</t>
        </is>
      </c>
      <c r="F25" s="15" t="inlineStr">
        <is>
          <t>addresses</t>
        </is>
      </c>
      <c r="G25" s="15" t="inlineStr">
        <is>
          <t>обращается к</t>
        </is>
      </c>
      <c r="H25" s="15" t="inlineStr">
        <is>
          <t>n.sun</t>
        </is>
      </c>
      <c r="I25" s="15" t="inlineStr">
        <is>
          <t>солнце / великое светило</t>
        </is>
      </c>
      <c r="J25" s="15" t="inlineStr">
        <is>
          <t>cosmic_entity</t>
        </is>
      </c>
      <c r="K25" s="15" t="inlineStr">
        <is>
          <t>source_linked</t>
        </is>
      </c>
      <c r="L25" s="15" t="inlineStr">
        <is>
          <t>1,1,1,1</t>
        </is>
      </c>
      <c r="M25" s="15" t="inlineStr"/>
      <c r="N25" s="15" t="n">
        <v>1</v>
      </c>
      <c r="O25" s="15" t="n">
        <v>1</v>
      </c>
      <c r="P25" s="15" t="inlineStr">
        <is>
          <t>[1]</t>
        </is>
      </c>
      <c r="Q25" s="15" t="inlineStr">
        <is>
          <t>|p1|</t>
        </is>
      </c>
      <c r="R25" s="15" t="inlineStr">
        <is>
          <t>seg.1.1.1.1</t>
        </is>
      </c>
      <c r="S25" s="15" t="inlineStr">
        <is>
          <t>de+ru+en</t>
        </is>
      </c>
      <c r="T25" s="15" t="inlineStr">
        <is>
          <t>local_chain</t>
        </is>
      </c>
      <c r="U25" s="15" t="inlineStr"/>
    </row>
    <row r="26" ht="30" customHeight="1">
      <c r="A26" s="15" t="inlineStr">
        <is>
          <t>m015</t>
        </is>
      </c>
      <c r="B26" s="15" t="inlineStr">
        <is>
          <t>source_edge</t>
        </is>
      </c>
      <c r="C26" s="15" t="inlineStr">
        <is>
          <t>n.sun</t>
        </is>
      </c>
      <c r="D26" s="15" t="inlineStr">
        <is>
          <t>солнце / великое светило</t>
        </is>
      </c>
      <c r="E26" s="15" t="inlineStr">
        <is>
          <t>cosmic_entity</t>
        </is>
      </c>
      <c r="F26" s="15" t="inlineStr">
        <is>
          <t>participates_in</t>
        </is>
      </c>
      <c r="G26" s="15" t="inlineStr">
        <is>
          <t>участвует в</t>
        </is>
      </c>
      <c r="H26" s="15" t="inlineStr">
        <is>
          <t>st.p2.solar_happiness_requires_recipients</t>
        </is>
      </c>
      <c r="I26" s="15" t="inlineStr">
        <is>
          <t>счастье светила требует адресатов света</t>
        </is>
      </c>
      <c r="J26" s="15" t="inlineStr">
        <is>
          <t>state</t>
        </is>
      </c>
      <c r="K26" s="15" t="inlineStr">
        <is>
          <t>source_linked</t>
        </is>
      </c>
      <c r="L26" s="15" t="inlineStr">
        <is>
          <t>1,1,1,2</t>
        </is>
      </c>
      <c r="M26" s="15" t="inlineStr"/>
      <c r="N26" s="15" t="n">
        <v>2</v>
      </c>
      <c r="O26" s="15" t="n">
        <v>2</v>
      </c>
      <c r="P26" s="15" t="inlineStr">
        <is>
          <t>[2]</t>
        </is>
      </c>
      <c r="Q26" s="15" t="inlineStr">
        <is>
          <t>|p2|</t>
        </is>
      </c>
      <c r="R26" s="15" t="inlineStr">
        <is>
          <t>seg.1.1.1.2</t>
        </is>
      </c>
      <c r="S26" s="15" t="inlineStr">
        <is>
          <t>de+ru+en</t>
        </is>
      </c>
      <c r="T26" s="15" t="inlineStr">
        <is>
          <t>local_chain</t>
        </is>
      </c>
      <c r="U26" s="15" t="inlineStr">
        <is>
          <t>солнечное счастье задано как отношение</t>
        </is>
      </c>
    </row>
    <row r="27" ht="30" customHeight="1">
      <c r="A27" s="15" t="inlineStr">
        <is>
          <t>m016</t>
        </is>
      </c>
      <c r="B27" s="15" t="inlineStr">
        <is>
          <t>source_edge</t>
        </is>
      </c>
      <c r="C27" s="15" t="inlineStr">
        <is>
          <t>st.p2.solar_happiness_requires_recipients</t>
        </is>
      </c>
      <c r="D27" s="15" t="inlineStr">
        <is>
          <t>счастье светила требует адресатов света</t>
        </is>
      </c>
      <c r="E27" s="15" t="inlineStr">
        <is>
          <t>state</t>
        </is>
      </c>
      <c r="F27" s="15" t="inlineStr">
        <is>
          <t>concerns</t>
        </is>
      </c>
      <c r="G27" s="15" t="inlineStr">
        <is>
          <t>касается</t>
        </is>
      </c>
      <c r="H27" s="15" t="inlineStr">
        <is>
          <t>n.happiness</t>
        </is>
      </c>
      <c r="I27" s="15" t="inlineStr">
        <is>
          <t>счастье</t>
        </is>
      </c>
      <c r="J27" s="15" t="inlineStr">
        <is>
          <t>quality</t>
        </is>
      </c>
      <c r="K27" s="15" t="inlineStr">
        <is>
          <t>source_linked</t>
        </is>
      </c>
      <c r="L27" s="15" t="inlineStr">
        <is>
          <t>1,1,1,2</t>
        </is>
      </c>
      <c r="M27" s="15" t="inlineStr"/>
      <c r="N27" s="15" t="n">
        <v>2</v>
      </c>
      <c r="O27" s="15" t="n">
        <v>2</v>
      </c>
      <c r="P27" s="15" t="inlineStr">
        <is>
          <t>[2]</t>
        </is>
      </c>
      <c r="Q27" s="15" t="inlineStr">
        <is>
          <t>|p2|</t>
        </is>
      </c>
      <c r="R27" s="15" t="inlineStr">
        <is>
          <t>seg.1.1.1.2</t>
        </is>
      </c>
      <c r="S27" s="15" t="inlineStr">
        <is>
          <t>de+ru+en</t>
        </is>
      </c>
      <c r="T27" s="15" t="inlineStr">
        <is>
          <t>local_chain</t>
        </is>
      </c>
      <c r="U27" s="15" t="inlineStr"/>
    </row>
    <row r="28" ht="30" customHeight="1">
      <c r="A28" s="15" t="inlineStr">
        <is>
          <t>m017</t>
        </is>
      </c>
      <c r="B28" s="15" t="inlineStr">
        <is>
          <t>source_edge</t>
        </is>
      </c>
      <c r="C28" s="15" t="inlineStr">
        <is>
          <t>n.happiness</t>
        </is>
      </c>
      <c r="D28" s="15" t="inlineStr">
        <is>
          <t>счастье</t>
        </is>
      </c>
      <c r="E28" s="15" t="inlineStr">
        <is>
          <t>quality</t>
        </is>
      </c>
      <c r="F28" s="15" t="inlineStr">
        <is>
          <t>depends_on</t>
        </is>
      </c>
      <c r="G28" s="15" t="inlineStr">
        <is>
          <t>зависит от</t>
        </is>
      </c>
      <c r="H28" s="15" t="inlineStr">
        <is>
          <t>n.recipients_of_light</t>
        </is>
      </c>
      <c r="I28" s="15" t="inlineStr">
        <is>
          <t>те, кому светят</t>
        </is>
      </c>
      <c r="J28" s="15" t="inlineStr">
        <is>
          <t>relational_group</t>
        </is>
      </c>
      <c r="K28" s="15" t="inlineStr">
        <is>
          <t>source_linked</t>
        </is>
      </c>
      <c r="L28" s="15" t="inlineStr">
        <is>
          <t>1,1,1,2</t>
        </is>
      </c>
      <c r="M28" s="15" t="inlineStr"/>
      <c r="N28" s="15" t="n">
        <v>2</v>
      </c>
      <c r="O28" s="15" t="n">
        <v>2</v>
      </c>
      <c r="P28" s="15" t="inlineStr">
        <is>
          <t>[2]</t>
        </is>
      </c>
      <c r="Q28" s="15" t="inlineStr">
        <is>
          <t>|p2|</t>
        </is>
      </c>
      <c r="R28" s="15" t="inlineStr">
        <is>
          <t>seg.1.1.1.2</t>
        </is>
      </c>
      <c r="S28" s="15" t="inlineStr">
        <is>
          <t>de+ru+en</t>
        </is>
      </c>
      <c r="T28" s="15" t="inlineStr">
        <is>
          <t>local_chain</t>
        </is>
      </c>
      <c r="U28" s="15" t="inlineStr"/>
    </row>
    <row r="29" ht="30" customHeight="1">
      <c r="A29" s="15" t="inlineStr">
        <is>
          <t>m018</t>
        </is>
      </c>
      <c r="B29" s="15" t="inlineStr">
        <is>
          <t>source_edge</t>
        </is>
      </c>
      <c r="C29" s="15" t="inlineStr">
        <is>
          <t>st.p2.solar_happiness_requires_recipients</t>
        </is>
      </c>
      <c r="D29" s="15" t="inlineStr">
        <is>
          <t>счастье светила требует адресатов света</t>
        </is>
      </c>
      <c r="E29" s="15" t="inlineStr">
        <is>
          <t>state</t>
        </is>
      </c>
      <c r="F29" s="15" t="inlineStr">
        <is>
          <t>targets</t>
        </is>
      </c>
      <c r="G29" s="15" t="inlineStr">
        <is>
          <t>направлено к</t>
        </is>
      </c>
      <c r="H29" s="15" t="inlineStr">
        <is>
          <t>n.recipients_of_light</t>
        </is>
      </c>
      <c r="I29" s="15" t="inlineStr">
        <is>
          <t>те, кому светят</t>
        </is>
      </c>
      <c r="J29" s="15" t="inlineStr">
        <is>
          <t>relational_group</t>
        </is>
      </c>
      <c r="K29" s="15" t="inlineStr">
        <is>
          <t>source_linked</t>
        </is>
      </c>
      <c r="L29" s="15" t="inlineStr">
        <is>
          <t>1,1,1,2</t>
        </is>
      </c>
      <c r="M29" s="15" t="inlineStr"/>
      <c r="N29" s="15" t="n">
        <v>2</v>
      </c>
      <c r="O29" s="15" t="n">
        <v>2</v>
      </c>
      <c r="P29" s="15" t="inlineStr">
        <is>
          <t>[2]</t>
        </is>
      </c>
      <c r="Q29" s="15" t="inlineStr">
        <is>
          <t>|p2|</t>
        </is>
      </c>
      <c r="R29" s="15" t="inlineStr">
        <is>
          <t>seg.1.1.1.2</t>
        </is>
      </c>
      <c r="S29" s="15" t="inlineStr">
        <is>
          <t>de+ru+en</t>
        </is>
      </c>
      <c r="T29" s="15" t="inlineStr">
        <is>
          <t>local_chain</t>
        </is>
      </c>
      <c r="U29" s="15" t="inlineStr">
        <is>
          <t>адресаты света держат смысл счастья</t>
        </is>
      </c>
    </row>
    <row r="30" ht="30" customHeight="1">
      <c r="A30" s="15" t="inlineStr">
        <is>
          <t>m019</t>
        </is>
      </c>
      <c r="B30" s="15" t="inlineStr">
        <is>
          <t>source_edge</t>
        </is>
      </c>
      <c r="C30" s="15" t="inlineStr">
        <is>
          <t>n.sun</t>
        </is>
      </c>
      <c r="D30" s="15" t="inlineStr">
        <is>
          <t>солнце / великое светило</t>
        </is>
      </c>
      <c r="E30" s="15" t="inlineStr">
        <is>
          <t>cosmic_entity</t>
        </is>
      </c>
      <c r="F30" s="15" t="inlineStr">
        <is>
          <t>participates_in</t>
        </is>
      </c>
      <c r="G30" s="15" t="inlineStr">
        <is>
          <t>участвует в</t>
        </is>
      </c>
      <c r="H30" s="15" t="inlineStr">
        <is>
          <t>ev.p3.sun_ascends_to_cave_10y</t>
        </is>
      </c>
      <c r="I30" s="15" t="inlineStr">
        <is>
          <t>десятилетнее восхождение солнца к пещере</t>
        </is>
      </c>
      <c r="J30" s="15" t="inlineStr">
        <is>
          <t>event</t>
        </is>
      </c>
      <c r="K30" s="15" t="inlineStr">
        <is>
          <t>source_linked</t>
        </is>
      </c>
      <c r="L30" s="15" t="inlineStr">
        <is>
          <t>1,1,1,3</t>
        </is>
      </c>
      <c r="M30" s="15" t="inlineStr"/>
      <c r="N30" s="15" t="n">
        <v>3</v>
      </c>
      <c r="O30" s="15" t="n">
        <v>3</v>
      </c>
      <c r="P30" s="15" t="inlineStr">
        <is>
          <t>[3]</t>
        </is>
      </c>
      <c r="Q30" s="15" t="inlineStr">
        <is>
          <t>|p3|</t>
        </is>
      </c>
      <c r="R30" s="15" t="inlineStr">
        <is>
          <t>seg.1.1.1.3</t>
        </is>
      </c>
      <c r="S30" s="15" t="inlineStr">
        <is>
          <t>de+ru+en</t>
        </is>
      </c>
      <c r="T30" s="15" t="inlineStr">
        <is>
          <t>local_chain</t>
        </is>
      </c>
      <c r="U30" s="15" t="inlineStr"/>
    </row>
    <row r="31" ht="30" customHeight="1">
      <c r="A31" s="15" t="inlineStr">
        <is>
          <t>m020</t>
        </is>
      </c>
      <c r="B31" s="15" t="inlineStr">
        <is>
          <t>source_edge</t>
        </is>
      </c>
      <c r="C31" s="15" t="inlineStr">
        <is>
          <t>ev.p3.sun_ascends_to_cave_10y</t>
        </is>
      </c>
      <c r="D31" s="15" t="inlineStr">
        <is>
          <t>десятилетнее восхождение солнца к пещере</t>
        </is>
      </c>
      <c r="E31" s="15" t="inlineStr">
        <is>
          <t>event</t>
        </is>
      </c>
      <c r="F31" s="15" t="inlineStr">
        <is>
          <t>destination</t>
        </is>
      </c>
      <c r="G31" s="15" t="inlineStr">
        <is>
          <t>направляется в</t>
        </is>
      </c>
      <c r="H31" s="15" t="inlineStr">
        <is>
          <t>n.cave</t>
        </is>
      </c>
      <c r="I31" s="15" t="inlineStr">
        <is>
          <t>пещера</t>
        </is>
      </c>
      <c r="J31" s="15" t="inlineStr">
        <is>
          <t>place-threshold</t>
        </is>
      </c>
      <c r="K31" s="15" t="inlineStr">
        <is>
          <t>source_linked</t>
        </is>
      </c>
      <c r="L31" s="15" t="inlineStr">
        <is>
          <t>1,1,1,3</t>
        </is>
      </c>
      <c r="M31" s="15" t="inlineStr"/>
      <c r="N31" s="15" t="n">
        <v>3</v>
      </c>
      <c r="O31" s="15" t="n">
        <v>3</v>
      </c>
      <c r="P31" s="15" t="inlineStr">
        <is>
          <t>[3]</t>
        </is>
      </c>
      <c r="Q31" s="15" t="inlineStr">
        <is>
          <t>|p3|</t>
        </is>
      </c>
      <c r="R31" s="15" t="inlineStr">
        <is>
          <t>seg.1.1.1.3</t>
        </is>
      </c>
      <c r="S31" s="15" t="inlineStr">
        <is>
          <t>de+ru+en</t>
        </is>
      </c>
      <c r="T31" s="15" t="inlineStr">
        <is>
          <t>local_chain</t>
        </is>
      </c>
      <c r="U31" s="15" t="inlineStr"/>
    </row>
    <row r="32" ht="30" customHeight="1">
      <c r="A32" s="15" t="inlineStr">
        <is>
          <t>m021</t>
        </is>
      </c>
      <c r="B32" s="15" t="inlineStr">
        <is>
          <t>source_edge</t>
        </is>
      </c>
      <c r="C32" s="15" t="inlineStr">
        <is>
          <t>ev.p3.sun_ascends_to_cave_10y</t>
        </is>
      </c>
      <c r="D32" s="15" t="inlineStr">
        <is>
          <t>десятилетнее восхождение солнца к пещере</t>
        </is>
      </c>
      <c r="E32" s="15" t="inlineStr">
        <is>
          <t>event</t>
        </is>
      </c>
      <c r="F32" s="15" t="inlineStr">
        <is>
          <t>duration</t>
        </is>
      </c>
      <c r="G32" s="15" t="inlineStr">
        <is>
          <t>имеет длительность</t>
        </is>
      </c>
      <c r="H32" s="15" t="inlineStr">
        <is>
          <t>literal.ten_years</t>
        </is>
      </c>
      <c r="I32" s="15" t="inlineStr">
        <is>
          <t>десять лет</t>
        </is>
      </c>
      <c r="J32" s="15" t="inlineStr">
        <is>
          <t>literal</t>
        </is>
      </c>
      <c r="K32" s="15" t="inlineStr">
        <is>
          <t>source_linked</t>
        </is>
      </c>
      <c r="L32" s="15" t="inlineStr">
        <is>
          <t>1,1,1,3</t>
        </is>
      </c>
      <c r="M32" s="15" t="inlineStr"/>
      <c r="N32" s="15" t="n">
        <v>3</v>
      </c>
      <c r="O32" s="15" t="n">
        <v>3</v>
      </c>
      <c r="P32" s="15" t="inlineStr">
        <is>
          <t>[3]</t>
        </is>
      </c>
      <c r="Q32" s="15" t="inlineStr">
        <is>
          <t>|p3|</t>
        </is>
      </c>
      <c r="R32" s="15" t="inlineStr">
        <is>
          <t>seg.1.1.1.3</t>
        </is>
      </c>
      <c r="S32" s="15" t="inlineStr">
        <is>
          <t>de+ru+en</t>
        </is>
      </c>
      <c r="T32" s="15" t="inlineStr">
        <is>
          <t>local_chain</t>
        </is>
      </c>
      <c r="U32" s="15" t="inlineStr"/>
    </row>
    <row r="33" ht="30" customHeight="1">
      <c r="A33" s="15" t="inlineStr">
        <is>
          <t>m022</t>
        </is>
      </c>
      <c r="B33" s="15" t="inlineStr">
        <is>
          <t>source_edge</t>
        </is>
      </c>
      <c r="C33" s="15" t="inlineStr">
        <is>
          <t>n.sun</t>
        </is>
      </c>
      <c r="D33" s="15" t="inlineStr">
        <is>
          <t>солнце / великое светило</t>
        </is>
      </c>
      <c r="E33" s="15" t="inlineStr">
        <is>
          <t>cosmic_entity</t>
        </is>
      </c>
      <c r="F33" s="15" t="inlineStr">
        <is>
          <t>participates_in</t>
        </is>
      </c>
      <c r="G33" s="15" t="inlineStr">
        <is>
          <t>участвует в</t>
        </is>
      </c>
      <c r="H33" s="15" t="inlineStr">
        <is>
          <t>st.p3.sun_would_grow_sated_without_triad</t>
        </is>
      </c>
      <c r="I33" s="15" t="inlineStr">
        <is>
          <t>без триады солнце пресытилось бы светом и путем</t>
        </is>
      </c>
      <c r="J33" s="15" t="inlineStr">
        <is>
          <t>state</t>
        </is>
      </c>
      <c r="K33" s="15" t="inlineStr">
        <is>
          <t>source_linked</t>
        </is>
      </c>
      <c r="L33" s="15" t="inlineStr">
        <is>
          <t>1,1,1,3</t>
        </is>
      </c>
      <c r="M33" s="15" t="inlineStr"/>
      <c r="N33" s="15" t="n">
        <v>3</v>
      </c>
      <c r="O33" s="15" t="n">
        <v>3</v>
      </c>
      <c r="P33" s="15" t="inlineStr">
        <is>
          <t>[3]</t>
        </is>
      </c>
      <c r="Q33" s="15" t="inlineStr">
        <is>
          <t>|p3|</t>
        </is>
      </c>
      <c r="R33" s="15" t="inlineStr">
        <is>
          <t>seg.1.1.1.3</t>
        </is>
      </c>
      <c r="S33" s="15" t="inlineStr">
        <is>
          <t>de+ru+en</t>
        </is>
      </c>
      <c r="T33" s="15" t="inlineStr">
        <is>
          <t>local_chain</t>
        </is>
      </c>
      <c r="U33" s="15" t="inlineStr">
        <is>
          <t>условная конструкция пресыщения</t>
        </is>
      </c>
    </row>
    <row r="34" ht="30" customHeight="1">
      <c r="A34" s="15" t="inlineStr">
        <is>
          <t>m023</t>
        </is>
      </c>
      <c r="B34" s="15" t="inlineStr">
        <is>
          <t>source_edge</t>
        </is>
      </c>
      <c r="C34" s="15" t="inlineStr">
        <is>
          <t>st.p3.sun_would_grow_sated_without_triad</t>
        </is>
      </c>
      <c r="D34" s="15" t="inlineStr">
        <is>
          <t>без триады солнце пресытилось бы светом и путем</t>
        </is>
      </c>
      <c r="E34" s="15" t="inlineStr">
        <is>
          <t>state</t>
        </is>
      </c>
      <c r="F34" s="15" t="inlineStr">
        <is>
          <t>concerns</t>
        </is>
      </c>
      <c r="G34" s="15" t="inlineStr">
        <is>
          <t>касается</t>
        </is>
      </c>
      <c r="H34" s="15" t="inlineStr">
        <is>
          <t>n.light</t>
        </is>
      </c>
      <c r="I34" s="15" t="inlineStr">
        <is>
          <t>свет</t>
        </is>
      </c>
      <c r="J34" s="15" t="inlineStr">
        <is>
          <t>quality-substance</t>
        </is>
      </c>
      <c r="K34" s="15" t="inlineStr">
        <is>
          <t>source_linked</t>
        </is>
      </c>
      <c r="L34" s="15" t="inlineStr">
        <is>
          <t>1,1,1,3</t>
        </is>
      </c>
      <c r="M34" s="15" t="inlineStr"/>
      <c r="N34" s="15" t="n">
        <v>3</v>
      </c>
      <c r="O34" s="15" t="n">
        <v>3</v>
      </c>
      <c r="P34" s="15" t="inlineStr">
        <is>
          <t>[3]</t>
        </is>
      </c>
      <c r="Q34" s="15" t="inlineStr">
        <is>
          <t>|p3|</t>
        </is>
      </c>
      <c r="R34" s="15" t="inlineStr">
        <is>
          <t>seg.1.1.1.3</t>
        </is>
      </c>
      <c r="S34" s="15" t="inlineStr">
        <is>
          <t>de+ru+en</t>
        </is>
      </c>
      <c r="T34" s="15" t="inlineStr">
        <is>
          <t>local_chain</t>
        </is>
      </c>
      <c r="U34" s="15" t="inlineStr"/>
    </row>
    <row r="35" ht="30" customHeight="1">
      <c r="A35" s="15" t="inlineStr">
        <is>
          <t>m024</t>
        </is>
      </c>
      <c r="B35" s="15" t="inlineStr">
        <is>
          <t>source_edge</t>
        </is>
      </c>
      <c r="C35" s="15" t="inlineStr">
        <is>
          <t>st.p3.sun_would_grow_sated_without_triad</t>
        </is>
      </c>
      <c r="D35" s="15" t="inlineStr">
        <is>
          <t>без триады солнце пресытилось бы светом и путем</t>
        </is>
      </c>
      <c r="E35" s="15" t="inlineStr">
        <is>
          <t>state</t>
        </is>
      </c>
      <c r="F35" s="15" t="inlineStr">
        <is>
          <t>concerns</t>
        </is>
      </c>
      <c r="G35" s="15" t="inlineStr">
        <is>
          <t>касается</t>
        </is>
      </c>
      <c r="H35" s="15" t="inlineStr">
        <is>
          <t>n.path</t>
        </is>
      </c>
      <c r="I35" s="15" t="inlineStr">
        <is>
          <t>путь</t>
        </is>
      </c>
      <c r="J35" s="15" t="inlineStr">
        <is>
          <t>route</t>
        </is>
      </c>
      <c r="K35" s="15" t="inlineStr">
        <is>
          <t>source_linked</t>
        </is>
      </c>
      <c r="L35" s="15" t="inlineStr">
        <is>
          <t>1,1,1,3</t>
        </is>
      </c>
      <c r="M35" s="15" t="inlineStr"/>
      <c r="N35" s="15" t="n">
        <v>3</v>
      </c>
      <c r="O35" s="15" t="n">
        <v>3</v>
      </c>
      <c r="P35" s="15" t="inlineStr">
        <is>
          <t>[3]</t>
        </is>
      </c>
      <c r="Q35" s="15" t="inlineStr">
        <is>
          <t>|p3|</t>
        </is>
      </c>
      <c r="R35" s="15" t="inlineStr">
        <is>
          <t>seg.1.1.1.3</t>
        </is>
      </c>
      <c r="S35" s="15" t="inlineStr">
        <is>
          <t>de+ru+en</t>
        </is>
      </c>
      <c r="T35" s="15" t="inlineStr">
        <is>
          <t>local_chain</t>
        </is>
      </c>
      <c r="U35" s="15" t="inlineStr"/>
    </row>
    <row r="36" ht="30" customHeight="1">
      <c r="A36" s="15" t="inlineStr">
        <is>
          <t>m025</t>
        </is>
      </c>
      <c r="B36" s="15" t="inlineStr">
        <is>
          <t>source_edge</t>
        </is>
      </c>
      <c r="C36" s="15" t="inlineStr">
        <is>
          <t>st.p3.sun_would_grow_sated_without_triad</t>
        </is>
      </c>
      <c r="D36" s="15" t="inlineStr">
        <is>
          <t>без триады солнце пресытилось бы светом и путем</t>
        </is>
      </c>
      <c r="E36" s="15" t="inlineStr">
        <is>
          <t>state</t>
        </is>
      </c>
      <c r="F36" s="15" t="inlineStr">
        <is>
          <t>prevented_by</t>
        </is>
      </c>
      <c r="G36" s="15" t="inlineStr">
        <is>
          <t>предотвращается через</t>
        </is>
      </c>
      <c r="H36" s="15" t="inlineStr">
        <is>
          <t>n.triad_zarathustra_eagle_serpent</t>
        </is>
      </c>
      <c r="I36" s="15" t="inlineStr">
        <is>
          <t>Заратустра + орёл + змея</t>
        </is>
      </c>
      <c r="J36" s="15" t="inlineStr">
        <is>
          <t>collective_subject</t>
        </is>
      </c>
      <c r="K36" s="15" t="inlineStr">
        <is>
          <t>source_linked</t>
        </is>
      </c>
      <c r="L36" s="15" t="inlineStr">
        <is>
          <t>1,1,1,3</t>
        </is>
      </c>
      <c r="M36" s="15" t="inlineStr"/>
      <c r="N36" s="15" t="n">
        <v>3</v>
      </c>
      <c r="O36" s="15" t="n">
        <v>3</v>
      </c>
      <c r="P36" s="15" t="inlineStr">
        <is>
          <t>[3]</t>
        </is>
      </c>
      <c r="Q36" s="15" t="inlineStr">
        <is>
          <t>|p3|</t>
        </is>
      </c>
      <c r="R36" s="15" t="inlineStr">
        <is>
          <t>seg.1.1.1.3</t>
        </is>
      </c>
      <c r="S36" s="15" t="inlineStr">
        <is>
          <t>de+ru+en</t>
        </is>
      </c>
      <c r="T36" s="15" t="inlineStr">
        <is>
          <t>local_chain</t>
        </is>
      </c>
      <c r="U36" s="15" t="inlineStr"/>
    </row>
    <row r="37" ht="30" customHeight="1">
      <c r="A37" s="15" t="inlineStr">
        <is>
          <t>m026</t>
        </is>
      </c>
      <c r="B37" s="15" t="inlineStr">
        <is>
          <t>source_edge</t>
        </is>
      </c>
      <c r="C37" s="15" t="inlineStr">
        <is>
          <t>n.triad_zarathustra_eagle_serpent</t>
        </is>
      </c>
      <c r="D37" s="15" t="inlineStr">
        <is>
          <t>Заратустра + орёл + змея</t>
        </is>
      </c>
      <c r="E37" s="15" t="inlineStr">
        <is>
          <t>collective_subject</t>
        </is>
      </c>
      <c r="F37" s="15" t="inlineStr">
        <is>
          <t>includes</t>
        </is>
      </c>
      <c r="G37" s="15" t="inlineStr">
        <is>
          <t>включает</t>
        </is>
      </c>
      <c r="H37" s="15" t="inlineStr">
        <is>
          <t>n.zarathustra</t>
        </is>
      </c>
      <c r="I37" s="15" t="inlineStr">
        <is>
          <t>Заратустра</t>
        </is>
      </c>
      <c r="J37" s="15" t="inlineStr">
        <is>
          <t>persona</t>
        </is>
      </c>
      <c r="K37" s="15" t="inlineStr">
        <is>
          <t>source_linked</t>
        </is>
      </c>
      <c r="L37" s="15" t="inlineStr">
        <is>
          <t>1,1,1,3</t>
        </is>
      </c>
      <c r="M37" s="15" t="inlineStr"/>
      <c r="N37" s="15" t="n">
        <v>3</v>
      </c>
      <c r="O37" s="15" t="n">
        <v>3</v>
      </c>
      <c r="P37" s="15" t="inlineStr">
        <is>
          <t>[3]</t>
        </is>
      </c>
      <c r="Q37" s="15" t="inlineStr">
        <is>
          <t>|p3|</t>
        </is>
      </c>
      <c r="R37" s="15" t="inlineStr">
        <is>
          <t>seg.1.1.1.3</t>
        </is>
      </c>
      <c r="S37" s="15" t="inlineStr">
        <is>
          <t>de+ru+en</t>
        </is>
      </c>
      <c r="T37" s="15" t="inlineStr">
        <is>
          <t>local_chain</t>
        </is>
      </c>
      <c r="U37" s="15" t="inlineStr"/>
    </row>
    <row r="38" ht="30" customHeight="1">
      <c r="A38" s="15" t="inlineStr">
        <is>
          <t>m027</t>
        </is>
      </c>
      <c r="B38" s="15" t="inlineStr">
        <is>
          <t>source_edge</t>
        </is>
      </c>
      <c r="C38" s="15" t="inlineStr">
        <is>
          <t>n.triad_zarathustra_eagle_serpent</t>
        </is>
      </c>
      <c r="D38" s="15" t="inlineStr">
        <is>
          <t>Заратустра + орёл + змея</t>
        </is>
      </c>
      <c r="E38" s="15" t="inlineStr">
        <is>
          <t>collective_subject</t>
        </is>
      </c>
      <c r="F38" s="15" t="inlineStr">
        <is>
          <t>includes</t>
        </is>
      </c>
      <c r="G38" s="15" t="inlineStr">
        <is>
          <t>включает</t>
        </is>
      </c>
      <c r="H38" s="15" t="inlineStr">
        <is>
          <t>n.eagle</t>
        </is>
      </c>
      <c r="I38" s="15" t="inlineStr">
        <is>
          <t>орёл</t>
        </is>
      </c>
      <c r="J38" s="15" t="inlineStr">
        <is>
          <t>animal-symbol</t>
        </is>
      </c>
      <c r="K38" s="15" t="inlineStr">
        <is>
          <t>source_linked</t>
        </is>
      </c>
      <c r="L38" s="15" t="inlineStr">
        <is>
          <t>1,1,1,3</t>
        </is>
      </c>
      <c r="M38" s="15" t="inlineStr"/>
      <c r="N38" s="15" t="n">
        <v>3</v>
      </c>
      <c r="O38" s="15" t="n">
        <v>3</v>
      </c>
      <c r="P38" s="15" t="inlineStr">
        <is>
          <t>[3]</t>
        </is>
      </c>
      <c r="Q38" s="15" t="inlineStr">
        <is>
          <t>|p3|</t>
        </is>
      </c>
      <c r="R38" s="15" t="inlineStr">
        <is>
          <t>seg.1.1.1.3</t>
        </is>
      </c>
      <c r="S38" s="15" t="inlineStr">
        <is>
          <t>de+ru+en</t>
        </is>
      </c>
      <c r="T38" s="15" t="inlineStr">
        <is>
          <t>local_chain</t>
        </is>
      </c>
      <c r="U38" s="15" t="inlineStr"/>
    </row>
    <row r="39" ht="30" customHeight="1">
      <c r="A39" s="15" t="inlineStr">
        <is>
          <t>m028</t>
        </is>
      </c>
      <c r="B39" s="15" t="inlineStr">
        <is>
          <t>source_edge</t>
        </is>
      </c>
      <c r="C39" s="15" t="inlineStr">
        <is>
          <t>n.triad_zarathustra_eagle_serpent</t>
        </is>
      </c>
      <c r="D39" s="15" t="inlineStr">
        <is>
          <t>Заратустра + орёл + змея</t>
        </is>
      </c>
      <c r="E39" s="15" t="inlineStr">
        <is>
          <t>collective_subject</t>
        </is>
      </c>
      <c r="F39" s="15" t="inlineStr">
        <is>
          <t>includes</t>
        </is>
      </c>
      <c r="G39" s="15" t="inlineStr">
        <is>
          <t>включает</t>
        </is>
      </c>
      <c r="H39" s="15" t="inlineStr">
        <is>
          <t>n.serpent</t>
        </is>
      </c>
      <c r="I39" s="15" t="inlineStr">
        <is>
          <t>змея</t>
        </is>
      </c>
      <c r="J39" s="15" t="inlineStr">
        <is>
          <t>animal-symbol</t>
        </is>
      </c>
      <c r="K39" s="15" t="inlineStr">
        <is>
          <t>source_linked</t>
        </is>
      </c>
      <c r="L39" s="15" t="inlineStr">
        <is>
          <t>1,1,1,3</t>
        </is>
      </c>
      <c r="M39" s="15" t="inlineStr"/>
      <c r="N39" s="15" t="n">
        <v>3</v>
      </c>
      <c r="O39" s="15" t="n">
        <v>3</v>
      </c>
      <c r="P39" s="15" t="inlineStr">
        <is>
          <t>[3]</t>
        </is>
      </c>
      <c r="Q39" s="15" t="inlineStr">
        <is>
          <t>|p3|</t>
        </is>
      </c>
      <c r="R39" s="15" t="inlineStr">
        <is>
          <t>seg.1.1.1.3</t>
        </is>
      </c>
      <c r="S39" s="15" t="inlineStr">
        <is>
          <t>de+ru+en</t>
        </is>
      </c>
      <c r="T39" s="15" t="inlineStr">
        <is>
          <t>local_chain</t>
        </is>
      </c>
      <c r="U39" s="15" t="inlineStr"/>
    </row>
    <row r="40" ht="30" customHeight="1">
      <c r="A40" s="15" t="inlineStr">
        <is>
          <t>m029</t>
        </is>
      </c>
      <c r="B40" s="15" t="inlineStr">
        <is>
          <t>source_edge</t>
        </is>
      </c>
      <c r="C40" s="15" t="inlineStr">
        <is>
          <t>n.triad_zarathustra_eagle_serpent</t>
        </is>
      </c>
      <c r="D40" s="15" t="inlineStr">
        <is>
          <t>Заратустра + орёл + змея</t>
        </is>
      </c>
      <c r="E40" s="15" t="inlineStr">
        <is>
          <t>collective_subject</t>
        </is>
      </c>
      <c r="F40" s="15" t="inlineStr">
        <is>
          <t>performs</t>
        </is>
      </c>
      <c r="G40" s="15" t="inlineStr">
        <is>
          <t>совершает</t>
        </is>
      </c>
      <c r="H40" s="15" t="inlineStr">
        <is>
          <t>ev.p4.morning_wait_for_sun</t>
        </is>
      </c>
      <c r="I40" s="15" t="inlineStr">
        <is>
          <t>утреннее ожидание солнца</t>
        </is>
      </c>
      <c r="J40" s="15" t="inlineStr">
        <is>
          <t>event</t>
        </is>
      </c>
      <c r="K40" s="15" t="inlineStr">
        <is>
          <t>source_linked</t>
        </is>
      </c>
      <c r="L40" s="15" t="inlineStr">
        <is>
          <t>1,1,1,4</t>
        </is>
      </c>
      <c r="M40" s="15" t="inlineStr"/>
      <c r="N40" s="15" t="n">
        <v>4</v>
      </c>
      <c r="O40" s="15" t="n">
        <v>4</v>
      </c>
      <c r="P40" s="15" t="inlineStr">
        <is>
          <t>[4]</t>
        </is>
      </c>
      <c r="Q40" s="15" t="inlineStr">
        <is>
          <t>|p4|</t>
        </is>
      </c>
      <c r="R40" s="15" t="inlineStr">
        <is>
          <t>seg.1.1.1.4</t>
        </is>
      </c>
      <c r="S40" s="15" t="inlineStr">
        <is>
          <t>de+ru+en</t>
        </is>
      </c>
      <c r="T40" s="15" t="inlineStr">
        <is>
          <t>local_chain</t>
        </is>
      </c>
      <c r="U40" s="15" t="inlineStr"/>
    </row>
    <row r="41" ht="30" customHeight="1">
      <c r="A41" s="15" t="inlineStr">
        <is>
          <t>m030</t>
        </is>
      </c>
      <c r="B41" s="15" t="inlineStr">
        <is>
          <t>source_edge</t>
        </is>
      </c>
      <c r="C41" s="15" t="inlineStr">
        <is>
          <t>ev.p4.morning_wait_for_sun</t>
        </is>
      </c>
      <c r="D41" s="15" t="inlineStr">
        <is>
          <t>утреннее ожидание солнца</t>
        </is>
      </c>
      <c r="E41" s="15" t="inlineStr">
        <is>
          <t>event</t>
        </is>
      </c>
      <c r="F41" s="15" t="inlineStr">
        <is>
          <t>occurs_every</t>
        </is>
      </c>
      <c r="G41" s="15" t="inlineStr">
        <is>
          <t>повторяется каждое</t>
        </is>
      </c>
      <c r="H41" s="15" t="inlineStr">
        <is>
          <t>n.morning</t>
        </is>
      </c>
      <c r="I41" s="15" t="inlineStr">
        <is>
          <t>утро</t>
        </is>
      </c>
      <c r="J41" s="15" t="inlineStr">
        <is>
          <t>time</t>
        </is>
      </c>
      <c r="K41" s="15" t="inlineStr">
        <is>
          <t>source_linked</t>
        </is>
      </c>
      <c r="L41" s="15" t="inlineStr">
        <is>
          <t>1,1,1,4</t>
        </is>
      </c>
      <c r="M41" s="15" t="inlineStr"/>
      <c r="N41" s="15" t="n">
        <v>4</v>
      </c>
      <c r="O41" s="15" t="n">
        <v>4</v>
      </c>
      <c r="P41" s="15" t="inlineStr">
        <is>
          <t>[4]</t>
        </is>
      </c>
      <c r="Q41" s="15" t="inlineStr">
        <is>
          <t>|p4|</t>
        </is>
      </c>
      <c r="R41" s="15" t="inlineStr">
        <is>
          <t>seg.1.1.1.4</t>
        </is>
      </c>
      <c r="S41" s="15" t="inlineStr">
        <is>
          <t>de+ru+en</t>
        </is>
      </c>
      <c r="T41" s="15" t="inlineStr">
        <is>
          <t>local_chain</t>
        </is>
      </c>
      <c r="U41" s="15" t="inlineStr"/>
    </row>
    <row r="42" ht="30" customHeight="1">
      <c r="A42" s="15" t="inlineStr">
        <is>
          <t>m031</t>
        </is>
      </c>
      <c r="B42" s="15" t="inlineStr">
        <is>
          <t>source_edge</t>
        </is>
      </c>
      <c r="C42" s="15" t="inlineStr">
        <is>
          <t>ev.p4.morning_wait_for_sun</t>
        </is>
      </c>
      <c r="D42" s="15" t="inlineStr">
        <is>
          <t>утреннее ожидание солнца</t>
        </is>
      </c>
      <c r="E42" s="15" t="inlineStr">
        <is>
          <t>event</t>
        </is>
      </c>
      <c r="F42" s="15" t="inlineStr">
        <is>
          <t>targets</t>
        </is>
      </c>
      <c r="G42" s="15" t="inlineStr">
        <is>
          <t>направлено к</t>
        </is>
      </c>
      <c r="H42" s="15" t="inlineStr">
        <is>
          <t>n.sun</t>
        </is>
      </c>
      <c r="I42" s="15" t="inlineStr">
        <is>
          <t>солнце / великое светило</t>
        </is>
      </c>
      <c r="J42" s="15" t="inlineStr">
        <is>
          <t>cosmic_entity</t>
        </is>
      </c>
      <c r="K42" s="15" t="inlineStr">
        <is>
          <t>source_linked</t>
        </is>
      </c>
      <c r="L42" s="15" t="inlineStr">
        <is>
          <t>1,1,1,4</t>
        </is>
      </c>
      <c r="M42" s="15" t="inlineStr"/>
      <c r="N42" s="15" t="n">
        <v>4</v>
      </c>
      <c r="O42" s="15" t="n">
        <v>4</v>
      </c>
      <c r="P42" s="15" t="inlineStr">
        <is>
          <t>[4]</t>
        </is>
      </c>
      <c r="Q42" s="15" t="inlineStr">
        <is>
          <t>|p4|</t>
        </is>
      </c>
      <c r="R42" s="15" t="inlineStr">
        <is>
          <t>seg.1.1.1.4</t>
        </is>
      </c>
      <c r="S42" s="15" t="inlineStr">
        <is>
          <t>de+ru+en</t>
        </is>
      </c>
      <c r="T42" s="15" t="inlineStr">
        <is>
          <t>local_chain</t>
        </is>
      </c>
      <c r="U42" s="15" t="inlineStr"/>
    </row>
    <row r="43" ht="30" customHeight="1">
      <c r="A43" s="15" t="inlineStr">
        <is>
          <t>m032</t>
        </is>
      </c>
      <c r="B43" s="15" t="inlineStr">
        <is>
          <t>source_edge</t>
        </is>
      </c>
      <c r="C43" s="15" t="inlineStr">
        <is>
          <t>n.triad_zarathustra_eagle_serpent</t>
        </is>
      </c>
      <c r="D43" s="15" t="inlineStr">
        <is>
          <t>Заратустра + орёл + змея</t>
        </is>
      </c>
      <c r="E43" s="15" t="inlineStr">
        <is>
          <t>collective_subject</t>
        </is>
      </c>
      <c r="F43" s="15" t="inlineStr">
        <is>
          <t>performs</t>
        </is>
      </c>
      <c r="G43" s="15" t="inlineStr">
        <is>
          <t>совершает</t>
        </is>
      </c>
      <c r="H43" s="15" t="inlineStr">
        <is>
          <t>ev.p4.receive_overflow_from_sun</t>
        </is>
      </c>
      <c r="I43" s="15" t="inlineStr">
        <is>
          <t>принятие избытка солнца</t>
        </is>
      </c>
      <c r="J43" s="15" t="inlineStr">
        <is>
          <t>event</t>
        </is>
      </c>
      <c r="K43" s="15" t="inlineStr">
        <is>
          <t>source_linked</t>
        </is>
      </c>
      <c r="L43" s="15" t="inlineStr">
        <is>
          <t>1,1,1,4</t>
        </is>
      </c>
      <c r="M43" s="15" t="inlineStr"/>
      <c r="N43" s="15" t="n">
        <v>4</v>
      </c>
      <c r="O43" s="15" t="n">
        <v>4</v>
      </c>
      <c r="P43" s="15" t="inlineStr">
        <is>
          <t>[4]</t>
        </is>
      </c>
      <c r="Q43" s="15" t="inlineStr">
        <is>
          <t>|p4|</t>
        </is>
      </c>
      <c r="R43" s="15" t="inlineStr">
        <is>
          <t>seg.1.1.1.4</t>
        </is>
      </c>
      <c r="S43" s="15" t="inlineStr">
        <is>
          <t>de+ru+en</t>
        </is>
      </c>
      <c r="T43" s="15" t="inlineStr">
        <is>
          <t>local_chain</t>
        </is>
      </c>
      <c r="U43" s="15" t="inlineStr"/>
    </row>
    <row r="44" ht="30" customHeight="1">
      <c r="A44" s="15" t="inlineStr">
        <is>
          <t>m033</t>
        </is>
      </c>
      <c r="B44" s="15" t="inlineStr">
        <is>
          <t>source_edge</t>
        </is>
      </c>
      <c r="C44" s="15" t="inlineStr">
        <is>
          <t>ev.p4.receive_overflow_from_sun</t>
        </is>
      </c>
      <c r="D44" s="15" t="inlineStr">
        <is>
          <t>принятие избытка солнца</t>
        </is>
      </c>
      <c r="E44" s="15" t="inlineStr">
        <is>
          <t>event</t>
        </is>
      </c>
      <c r="F44" s="15" t="inlineStr">
        <is>
          <t>receives</t>
        </is>
      </c>
      <c r="G44" s="15" t="inlineStr">
        <is>
          <t>получает</t>
        </is>
      </c>
      <c r="H44" s="15" t="inlineStr">
        <is>
          <t>n.overflow</t>
        </is>
      </c>
      <c r="I44" s="15" t="inlineStr">
        <is>
          <t>избыток / overflow</t>
        </is>
      </c>
      <c r="J44" s="15" t="inlineStr">
        <is>
          <t>abundance</t>
        </is>
      </c>
      <c r="K44" s="15" t="inlineStr">
        <is>
          <t>source_linked</t>
        </is>
      </c>
      <c r="L44" s="15" t="inlineStr">
        <is>
          <t>1,1,1,4</t>
        </is>
      </c>
      <c r="M44" s="15" t="inlineStr"/>
      <c r="N44" s="15" t="n">
        <v>4</v>
      </c>
      <c r="O44" s="15" t="n">
        <v>4</v>
      </c>
      <c r="P44" s="15" t="inlineStr">
        <is>
          <t>[4]</t>
        </is>
      </c>
      <c r="Q44" s="15" t="inlineStr">
        <is>
          <t>|p4|</t>
        </is>
      </c>
      <c r="R44" s="15" t="inlineStr">
        <is>
          <t>seg.1.1.1.4</t>
        </is>
      </c>
      <c r="S44" s="15" t="inlineStr">
        <is>
          <t>de+ru+en</t>
        </is>
      </c>
      <c r="T44" s="15" t="inlineStr">
        <is>
          <t>local_chain</t>
        </is>
      </c>
      <c r="U44" s="15" t="inlineStr"/>
    </row>
    <row r="45" ht="30" customHeight="1">
      <c r="A45" s="15" t="inlineStr">
        <is>
          <t>m034</t>
        </is>
      </c>
      <c r="B45" s="15" t="inlineStr">
        <is>
          <t>source_edge</t>
        </is>
      </c>
      <c r="C45" s="15" t="inlineStr">
        <is>
          <t>ev.p4.receive_overflow_from_sun</t>
        </is>
      </c>
      <c r="D45" s="15" t="inlineStr">
        <is>
          <t>принятие избытка солнца</t>
        </is>
      </c>
      <c r="E45" s="15" t="inlineStr">
        <is>
          <t>event</t>
        </is>
      </c>
      <c r="F45" s="15" t="inlineStr">
        <is>
          <t>from</t>
        </is>
      </c>
      <c r="G45" s="15" t="inlineStr">
        <is>
          <t>от</t>
        </is>
      </c>
      <c r="H45" s="15" t="inlineStr">
        <is>
          <t>n.sun</t>
        </is>
      </c>
      <c r="I45" s="15" t="inlineStr">
        <is>
          <t>солнце / великое светило</t>
        </is>
      </c>
      <c r="J45" s="15" t="inlineStr">
        <is>
          <t>cosmic_entity</t>
        </is>
      </c>
      <c r="K45" s="15" t="inlineStr">
        <is>
          <t>source_linked</t>
        </is>
      </c>
      <c r="L45" s="15" t="inlineStr">
        <is>
          <t>1,1,1,4</t>
        </is>
      </c>
      <c r="M45" s="15" t="inlineStr"/>
      <c r="N45" s="15" t="n">
        <v>4</v>
      </c>
      <c r="O45" s="15" t="n">
        <v>4</v>
      </c>
      <c r="P45" s="15" t="inlineStr">
        <is>
          <t>[4]</t>
        </is>
      </c>
      <c r="Q45" s="15" t="inlineStr">
        <is>
          <t>|p4|</t>
        </is>
      </c>
      <c r="R45" s="15" t="inlineStr">
        <is>
          <t>seg.1.1.1.4</t>
        </is>
      </c>
      <c r="S45" s="15" t="inlineStr">
        <is>
          <t>de+ru+en</t>
        </is>
      </c>
      <c r="T45" s="15" t="inlineStr">
        <is>
          <t>local_chain</t>
        </is>
      </c>
      <c r="U45" s="15" t="inlineStr"/>
    </row>
    <row r="46" ht="30" customHeight="1">
      <c r="A46" s="15" t="inlineStr">
        <is>
          <t>m035</t>
        </is>
      </c>
      <c r="B46" s="15" t="inlineStr">
        <is>
          <t>source_edge</t>
        </is>
      </c>
      <c r="C46" s="15" t="inlineStr">
        <is>
          <t>n.triad_zarathustra_eagle_serpent</t>
        </is>
      </c>
      <c r="D46" s="15" t="inlineStr">
        <is>
          <t>Заратустра + орёл + змея</t>
        </is>
      </c>
      <c r="E46" s="15" t="inlineStr">
        <is>
          <t>collective_subject</t>
        </is>
      </c>
      <c r="F46" s="15" t="inlineStr">
        <is>
          <t>performs</t>
        </is>
      </c>
      <c r="G46" s="15" t="inlineStr">
        <is>
          <t>совершает</t>
        </is>
      </c>
      <c r="H46" s="15" t="inlineStr">
        <is>
          <t>ev.p4.bless_sun_for_overflow</t>
        </is>
      </c>
      <c r="I46" s="15" t="inlineStr">
        <is>
          <t>благословение солнца за избыток</t>
        </is>
      </c>
      <c r="J46" s="15" t="inlineStr">
        <is>
          <t>event</t>
        </is>
      </c>
      <c r="K46" s="15" t="inlineStr">
        <is>
          <t>source_linked</t>
        </is>
      </c>
      <c r="L46" s="15" t="inlineStr">
        <is>
          <t>1,1,1,4</t>
        </is>
      </c>
      <c r="M46" s="15" t="inlineStr"/>
      <c r="N46" s="15" t="n">
        <v>4</v>
      </c>
      <c r="O46" s="15" t="n">
        <v>4</v>
      </c>
      <c r="P46" s="15" t="inlineStr">
        <is>
          <t>[4]</t>
        </is>
      </c>
      <c r="Q46" s="15" t="inlineStr">
        <is>
          <t>|p4|</t>
        </is>
      </c>
      <c r="R46" s="15" t="inlineStr">
        <is>
          <t>seg.1.1.1.4</t>
        </is>
      </c>
      <c r="S46" s="15" t="inlineStr">
        <is>
          <t>de+ru+en</t>
        </is>
      </c>
      <c r="T46" s="15" t="inlineStr">
        <is>
          <t>local_chain</t>
        </is>
      </c>
      <c r="U46" s="15" t="inlineStr"/>
    </row>
    <row r="47" ht="30" customHeight="1">
      <c r="A47" s="15" t="inlineStr">
        <is>
          <t>m036</t>
        </is>
      </c>
      <c r="B47" s="15" t="inlineStr">
        <is>
          <t>source_edge</t>
        </is>
      </c>
      <c r="C47" s="15" t="inlineStr">
        <is>
          <t>ev.p4.bless_sun_for_overflow</t>
        </is>
      </c>
      <c r="D47" s="15" t="inlineStr">
        <is>
          <t>благословение солнца за избыток</t>
        </is>
      </c>
      <c r="E47" s="15" t="inlineStr">
        <is>
          <t>event</t>
        </is>
      </c>
      <c r="F47" s="15" t="inlineStr">
        <is>
          <t>blesses</t>
        </is>
      </c>
      <c r="G47" s="15" t="inlineStr">
        <is>
          <t>благословляет</t>
        </is>
      </c>
      <c r="H47" s="15" t="inlineStr">
        <is>
          <t>n.sun</t>
        </is>
      </c>
      <c r="I47" s="15" t="inlineStr">
        <is>
          <t>солнце / великое светило</t>
        </is>
      </c>
      <c r="J47" s="15" t="inlineStr">
        <is>
          <t>cosmic_entity</t>
        </is>
      </c>
      <c r="K47" s="15" t="inlineStr">
        <is>
          <t>source_linked</t>
        </is>
      </c>
      <c r="L47" s="15" t="inlineStr">
        <is>
          <t>1,1,1,4</t>
        </is>
      </c>
      <c r="M47" s="15" t="inlineStr"/>
      <c r="N47" s="15" t="n">
        <v>4</v>
      </c>
      <c r="O47" s="15" t="n">
        <v>4</v>
      </c>
      <c r="P47" s="15" t="inlineStr">
        <is>
          <t>[4]</t>
        </is>
      </c>
      <c r="Q47" s="15" t="inlineStr">
        <is>
          <t>|p4|</t>
        </is>
      </c>
      <c r="R47" s="15" t="inlineStr">
        <is>
          <t>seg.1.1.1.4</t>
        </is>
      </c>
      <c r="S47" s="15" t="inlineStr">
        <is>
          <t>de+ru+en</t>
        </is>
      </c>
      <c r="T47" s="15" t="inlineStr">
        <is>
          <t>local_chain</t>
        </is>
      </c>
      <c r="U47" s="15" t="inlineStr"/>
    </row>
    <row r="48" ht="30" customHeight="1">
      <c r="A48" s="15" t="inlineStr">
        <is>
          <t>m037</t>
        </is>
      </c>
      <c r="B48" s="15" t="inlineStr">
        <is>
          <t>source_edge</t>
        </is>
      </c>
      <c r="C48" s="15" t="inlineStr">
        <is>
          <t>ev.p4.bless_sun_for_overflow</t>
        </is>
      </c>
      <c r="D48" s="15" t="inlineStr">
        <is>
          <t>благословение солнца за избыток</t>
        </is>
      </c>
      <c r="E48" s="15" t="inlineStr">
        <is>
          <t>event</t>
        </is>
      </c>
      <c r="F48" s="15" t="inlineStr">
        <is>
          <t>for</t>
        </is>
      </c>
      <c r="G48" s="15" t="inlineStr">
        <is>
          <t>за / по причине</t>
        </is>
      </c>
      <c r="H48" s="15" t="inlineStr">
        <is>
          <t>n.overflow</t>
        </is>
      </c>
      <c r="I48" s="15" t="inlineStr">
        <is>
          <t>избыток / overflow</t>
        </is>
      </c>
      <c r="J48" s="15" t="inlineStr">
        <is>
          <t>abundance</t>
        </is>
      </c>
      <c r="K48" s="15" t="inlineStr">
        <is>
          <t>source_linked</t>
        </is>
      </c>
      <c r="L48" s="15" t="inlineStr">
        <is>
          <t>1,1,1,4</t>
        </is>
      </c>
      <c r="M48" s="15" t="inlineStr"/>
      <c r="N48" s="15" t="n">
        <v>4</v>
      </c>
      <c r="O48" s="15" t="n">
        <v>4</v>
      </c>
      <c r="P48" s="15" t="inlineStr">
        <is>
          <t>[4]</t>
        </is>
      </c>
      <c r="Q48" s="15" t="inlineStr">
        <is>
          <t>|p4|</t>
        </is>
      </c>
      <c r="R48" s="15" t="inlineStr">
        <is>
          <t>seg.1.1.1.4</t>
        </is>
      </c>
      <c r="S48" s="15" t="inlineStr">
        <is>
          <t>de+ru+en</t>
        </is>
      </c>
      <c r="T48" s="15" t="inlineStr">
        <is>
          <t>local_chain</t>
        </is>
      </c>
      <c r="U48" s="15" t="inlineStr"/>
    </row>
    <row r="49" ht="30" customHeight="1">
      <c r="A49" s="16" t="inlineStr">
        <is>
          <t>m038</t>
        </is>
      </c>
      <c r="B49" s="16" t="inlineStr">
        <is>
          <t>bridge_edge</t>
        </is>
      </c>
      <c r="C49" s="16" t="inlineStr">
        <is>
          <t>ev.p4.receive_overflow_from_sun</t>
        </is>
      </c>
      <c r="D49" s="16" t="inlineStr">
        <is>
          <t>принятие избытка солнца</t>
        </is>
      </c>
      <c r="E49" s="16" t="inlineStr">
        <is>
          <t>event</t>
        </is>
      </c>
      <c r="F49" s="16" t="inlineStr">
        <is>
          <t>prefigures</t>
        </is>
      </c>
      <c r="G49" s="16" t="inlineStr">
        <is>
          <t>предвосхищает</t>
        </is>
      </c>
      <c r="H49" s="16" t="inlineStr">
        <is>
          <t>st.p5.overfull_wisdom</t>
        </is>
      </c>
      <c r="I49" s="16" t="inlineStr">
        <is>
          <t>пресыщение мудростью</t>
        </is>
      </c>
      <c r="J49" s="16" t="inlineStr">
        <is>
          <t>state</t>
        </is>
      </c>
      <c r="K49" s="16" t="inlineStr">
        <is>
          <t>source_linked</t>
        </is>
      </c>
      <c r="L49" s="16" t="inlineStr">
        <is>
          <t>1,1,1,4</t>
        </is>
      </c>
      <c r="M49" s="16" t="inlineStr">
        <is>
          <t>1,1,1,5</t>
        </is>
      </c>
      <c r="N49" s="16" t="n">
        <v>4</v>
      </c>
      <c r="O49" s="16" t="n">
        <v>5</v>
      </c>
      <c r="P49" s="16" t="inlineStr">
        <is>
          <t>[4]-[5]</t>
        </is>
      </c>
      <c r="Q49" s="16" t="inlineStr">
        <is>
          <t>|p4|p5|</t>
        </is>
      </c>
      <c r="R49" s="16" t="inlineStr">
        <is>
          <t>seg.1.1.1.4|seg.1.1.1.5</t>
        </is>
      </c>
      <c r="S49" s="16" t="inlineStr">
        <is>
          <t>de+ru+en</t>
        </is>
      </c>
      <c r="T49" s="16" t="inlineStr">
        <is>
          <t>reasoning_bridge</t>
        </is>
      </c>
      <c r="U49" s="16" t="inlineStr">
        <is>
          <t>внешний overflow затем становится внутренним</t>
        </is>
      </c>
    </row>
    <row r="50" ht="30" customHeight="1">
      <c r="A50" s="15" t="inlineStr">
        <is>
          <t>m039</t>
        </is>
      </c>
      <c r="B50" s="15" t="inlineStr">
        <is>
          <t>source_edge</t>
        </is>
      </c>
      <c r="C50" s="15" t="inlineStr">
        <is>
          <t>n.zarathustra</t>
        </is>
      </c>
      <c r="D50" s="15" t="inlineStr">
        <is>
          <t>Заратустра</t>
        </is>
      </c>
      <c r="E50" s="15" t="inlineStr">
        <is>
          <t>persona</t>
        </is>
      </c>
      <c r="F50" s="15" t="inlineStr">
        <is>
          <t>enters_state</t>
        </is>
      </c>
      <c r="G50" s="15" t="inlineStr">
        <is>
          <t>входит в состояние</t>
        </is>
      </c>
      <c r="H50" s="15" t="inlineStr">
        <is>
          <t>st.p5.overfull_wisdom</t>
        </is>
      </c>
      <c r="I50" s="15" t="inlineStr">
        <is>
          <t>пресыщение мудростью</t>
        </is>
      </c>
      <c r="J50" s="15" t="inlineStr">
        <is>
          <t>state</t>
        </is>
      </c>
      <c r="K50" s="15" t="inlineStr">
        <is>
          <t>source_linked</t>
        </is>
      </c>
      <c r="L50" s="15" t="inlineStr">
        <is>
          <t>1,1,1,5</t>
        </is>
      </c>
      <c r="M50" s="15" t="inlineStr"/>
      <c r="N50" s="15" t="n">
        <v>5</v>
      </c>
      <c r="O50" s="15" t="n">
        <v>5</v>
      </c>
      <c r="P50" s="15" t="inlineStr">
        <is>
          <t>[5]</t>
        </is>
      </c>
      <c r="Q50" s="15" t="inlineStr">
        <is>
          <t>|p5|</t>
        </is>
      </c>
      <c r="R50" s="15" t="inlineStr">
        <is>
          <t>seg.1.1.1.5</t>
        </is>
      </c>
      <c r="S50" s="15" t="inlineStr">
        <is>
          <t>de+ru+en</t>
        </is>
      </c>
      <c r="T50" s="15" t="inlineStr">
        <is>
          <t>local_chain</t>
        </is>
      </c>
      <c r="U50" s="15" t="inlineStr"/>
    </row>
    <row r="51" ht="30" customHeight="1">
      <c r="A51" s="15" t="inlineStr">
        <is>
          <t>m040</t>
        </is>
      </c>
      <c r="B51" s="15" t="inlineStr">
        <is>
          <t>source_edge</t>
        </is>
      </c>
      <c r="C51" s="15" t="inlineStr">
        <is>
          <t>st.p5.overfull_wisdom</t>
        </is>
      </c>
      <c r="D51" s="15" t="inlineStr">
        <is>
          <t>пресыщение мудростью</t>
        </is>
      </c>
      <c r="E51" s="15" t="inlineStr">
        <is>
          <t>state</t>
        </is>
      </c>
      <c r="F51" s="15" t="inlineStr">
        <is>
          <t>concerns</t>
        </is>
      </c>
      <c r="G51" s="15" t="inlineStr">
        <is>
          <t>касается</t>
        </is>
      </c>
      <c r="H51" s="15" t="inlineStr">
        <is>
          <t>n.wisdom</t>
        </is>
      </c>
      <c r="I51" s="15" t="inlineStr">
        <is>
          <t>мудрость</t>
        </is>
      </c>
      <c r="J51" s="15" t="inlineStr">
        <is>
          <t>concept</t>
        </is>
      </c>
      <c r="K51" s="15" t="inlineStr">
        <is>
          <t>source_linked</t>
        </is>
      </c>
      <c r="L51" s="15" t="inlineStr">
        <is>
          <t>1,1,1,5</t>
        </is>
      </c>
      <c r="M51" s="15" t="inlineStr"/>
      <c r="N51" s="15" t="n">
        <v>5</v>
      </c>
      <c r="O51" s="15" t="n">
        <v>5</v>
      </c>
      <c r="P51" s="15" t="inlineStr">
        <is>
          <t>[5]</t>
        </is>
      </c>
      <c r="Q51" s="15" t="inlineStr">
        <is>
          <t>|p5|</t>
        </is>
      </c>
      <c r="R51" s="15" t="inlineStr">
        <is>
          <t>seg.1.1.1.5</t>
        </is>
      </c>
      <c r="S51" s="15" t="inlineStr">
        <is>
          <t>de+ru+en</t>
        </is>
      </c>
      <c r="T51" s="15" t="inlineStr">
        <is>
          <t>local_chain</t>
        </is>
      </c>
      <c r="U51" s="15" t="inlineStr"/>
    </row>
    <row r="52" ht="30" customHeight="1">
      <c r="A52" s="15" t="inlineStr">
        <is>
          <t>m041</t>
        </is>
      </c>
      <c r="B52" s="15" t="inlineStr">
        <is>
          <t>source_edge</t>
        </is>
      </c>
      <c r="C52" s="15" t="inlineStr">
        <is>
          <t>ev.p5.bee_honey_analogy</t>
        </is>
      </c>
      <c r="D52" s="15" t="inlineStr">
        <is>
          <t>аналогия пчелы и мёда</t>
        </is>
      </c>
      <c r="E52" s="15" t="inlineStr">
        <is>
          <t>analogy</t>
        </is>
      </c>
      <c r="F52" s="15" t="inlineStr">
        <is>
          <t>compares_state_to</t>
        </is>
      </c>
      <c r="G52" s="15" t="inlineStr">
        <is>
          <t>сравнивает состояние с</t>
        </is>
      </c>
      <c r="H52" s="15" t="inlineStr">
        <is>
          <t>st.p5.overfull_wisdom</t>
        </is>
      </c>
      <c r="I52" s="15" t="inlineStr">
        <is>
          <t>пресыщение мудростью</t>
        </is>
      </c>
      <c r="J52" s="15" t="inlineStr">
        <is>
          <t>state</t>
        </is>
      </c>
      <c r="K52" s="15" t="inlineStr">
        <is>
          <t>source_linked</t>
        </is>
      </c>
      <c r="L52" s="15" t="inlineStr">
        <is>
          <t>1,1,1,5</t>
        </is>
      </c>
      <c r="M52" s="15" t="inlineStr"/>
      <c r="N52" s="15" t="n">
        <v>5</v>
      </c>
      <c r="O52" s="15" t="n">
        <v>5</v>
      </c>
      <c r="P52" s="15" t="inlineStr">
        <is>
          <t>[5]</t>
        </is>
      </c>
      <c r="Q52" s="15" t="inlineStr">
        <is>
          <t>|p5|</t>
        </is>
      </c>
      <c r="R52" s="15" t="inlineStr">
        <is>
          <t>seg.1.1.1.5</t>
        </is>
      </c>
      <c r="S52" s="15" t="inlineStr">
        <is>
          <t>de+ru+en</t>
        </is>
      </c>
      <c r="T52" s="15" t="inlineStr">
        <is>
          <t>local_chain</t>
        </is>
      </c>
      <c r="U52" s="15" t="inlineStr">
        <is>
          <t>образ удерживает логику накопления</t>
        </is>
      </c>
    </row>
    <row r="53" ht="30" customHeight="1">
      <c r="A53" s="15" t="inlineStr">
        <is>
          <t>m042</t>
        </is>
      </c>
      <c r="B53" s="15" t="inlineStr">
        <is>
          <t>source_edge</t>
        </is>
      </c>
      <c r="C53" s="15" t="inlineStr">
        <is>
          <t>ev.p5.bee_honey_analogy</t>
        </is>
      </c>
      <c r="D53" s="15" t="inlineStr">
        <is>
          <t>аналогия пчелы и мёда</t>
        </is>
      </c>
      <c r="E53" s="15" t="inlineStr">
        <is>
          <t>analogy</t>
        </is>
      </c>
      <c r="F53" s="15" t="inlineStr">
        <is>
          <t>uses_image_of</t>
        </is>
      </c>
      <c r="G53" s="15" t="inlineStr">
        <is>
          <t>использует образ</t>
        </is>
      </c>
      <c r="H53" s="15" t="inlineStr">
        <is>
          <t>n.bee</t>
        </is>
      </c>
      <c r="I53" s="15" t="inlineStr">
        <is>
          <t>пчела</t>
        </is>
      </c>
      <c r="J53" s="15" t="inlineStr">
        <is>
          <t>analogy-animal</t>
        </is>
      </c>
      <c r="K53" s="15" t="inlineStr">
        <is>
          <t>source_linked</t>
        </is>
      </c>
      <c r="L53" s="15" t="inlineStr">
        <is>
          <t>1,1,1,5</t>
        </is>
      </c>
      <c r="M53" s="15" t="inlineStr"/>
      <c r="N53" s="15" t="n">
        <v>5</v>
      </c>
      <c r="O53" s="15" t="n">
        <v>5</v>
      </c>
      <c r="P53" s="15" t="inlineStr">
        <is>
          <t>[5]</t>
        </is>
      </c>
      <c r="Q53" s="15" t="inlineStr">
        <is>
          <t>|p5|</t>
        </is>
      </c>
      <c r="R53" s="15" t="inlineStr">
        <is>
          <t>seg.1.1.1.5</t>
        </is>
      </c>
      <c r="S53" s="15" t="inlineStr">
        <is>
          <t>de+ru+en</t>
        </is>
      </c>
      <c r="T53" s="15" t="inlineStr">
        <is>
          <t>local_chain</t>
        </is>
      </c>
      <c r="U53" s="15" t="inlineStr"/>
    </row>
    <row r="54" ht="30" customHeight="1">
      <c r="A54" s="15" t="inlineStr">
        <is>
          <t>m043</t>
        </is>
      </c>
      <c r="B54" s="15" t="inlineStr">
        <is>
          <t>source_edge</t>
        </is>
      </c>
      <c r="C54" s="15" t="inlineStr">
        <is>
          <t>n.bee</t>
        </is>
      </c>
      <c r="D54" s="15" t="inlineStr">
        <is>
          <t>пчела</t>
        </is>
      </c>
      <c r="E54" s="15" t="inlineStr">
        <is>
          <t>analogy-animal</t>
        </is>
      </c>
      <c r="F54" s="15" t="inlineStr">
        <is>
          <t>gathers</t>
        </is>
      </c>
      <c r="G54" s="15" t="inlineStr">
        <is>
          <t>собирает</t>
        </is>
      </c>
      <c r="H54" s="15" t="inlineStr">
        <is>
          <t>n.honey</t>
        </is>
      </c>
      <c r="I54" s="15" t="inlineStr">
        <is>
          <t>мёд</t>
        </is>
      </c>
      <c r="J54" s="15" t="inlineStr">
        <is>
          <t>substance</t>
        </is>
      </c>
      <c r="K54" s="15" t="inlineStr">
        <is>
          <t>source_linked</t>
        </is>
      </c>
      <c r="L54" s="15" t="inlineStr">
        <is>
          <t>1,1,1,5</t>
        </is>
      </c>
      <c r="M54" s="15" t="inlineStr"/>
      <c r="N54" s="15" t="n">
        <v>5</v>
      </c>
      <c r="O54" s="15" t="n">
        <v>5</v>
      </c>
      <c r="P54" s="15" t="inlineStr">
        <is>
          <t>[5]</t>
        </is>
      </c>
      <c r="Q54" s="15" t="inlineStr">
        <is>
          <t>|p5|</t>
        </is>
      </c>
      <c r="R54" s="15" t="inlineStr">
        <is>
          <t>seg.1.1.1.5</t>
        </is>
      </c>
      <c r="S54" s="15" t="inlineStr">
        <is>
          <t>de+ru+en</t>
        </is>
      </c>
      <c r="T54" s="15" t="inlineStr">
        <is>
          <t>local_chain</t>
        </is>
      </c>
      <c r="U54" s="15" t="inlineStr"/>
    </row>
    <row r="55" ht="30" customHeight="1">
      <c r="A55" s="15" t="inlineStr">
        <is>
          <t>m044</t>
        </is>
      </c>
      <c r="B55" s="15" t="inlineStr">
        <is>
          <t>source_edge</t>
        </is>
      </c>
      <c r="C55" s="15" t="inlineStr">
        <is>
          <t>n.honey</t>
        </is>
      </c>
      <c r="D55" s="15" t="inlineStr">
        <is>
          <t>мёд</t>
        </is>
      </c>
      <c r="E55" s="15" t="inlineStr">
        <is>
          <t>substance</t>
        </is>
      </c>
      <c r="F55" s="15" t="inlineStr">
        <is>
          <t>has_quantity</t>
        </is>
      </c>
      <c r="G55" s="15" t="inlineStr">
        <is>
          <t>имеет количество</t>
        </is>
      </c>
      <c r="H55" s="15" t="inlineStr">
        <is>
          <t>literal.too_much</t>
        </is>
      </c>
      <c r="I55" s="15" t="inlineStr">
        <is>
          <t>слишком много</t>
        </is>
      </c>
      <c r="J55" s="15" t="inlineStr">
        <is>
          <t>literal</t>
        </is>
      </c>
      <c r="K55" s="15" t="inlineStr">
        <is>
          <t>source_linked</t>
        </is>
      </c>
      <c r="L55" s="15" t="inlineStr">
        <is>
          <t>1,1,1,5</t>
        </is>
      </c>
      <c r="M55" s="15" t="inlineStr"/>
      <c r="N55" s="15" t="n">
        <v>5</v>
      </c>
      <c r="O55" s="15" t="n">
        <v>5</v>
      </c>
      <c r="P55" s="15" t="inlineStr">
        <is>
          <t>[5]</t>
        </is>
      </c>
      <c r="Q55" s="15" t="inlineStr">
        <is>
          <t>|p5|</t>
        </is>
      </c>
      <c r="R55" s="15" t="inlineStr">
        <is>
          <t>seg.1.1.1.5</t>
        </is>
      </c>
      <c r="S55" s="15" t="inlineStr">
        <is>
          <t>de+ru+en</t>
        </is>
      </c>
      <c r="T55" s="15" t="inlineStr">
        <is>
          <t>local_chain</t>
        </is>
      </c>
      <c r="U55" s="15" t="inlineStr"/>
    </row>
    <row r="56" ht="30" customHeight="1">
      <c r="A56" s="16" t="inlineStr">
        <is>
          <t>m045</t>
        </is>
      </c>
      <c r="B56" s="16" t="inlineStr">
        <is>
          <t>bridge_edge</t>
        </is>
      </c>
      <c r="C56" s="16" t="inlineStr">
        <is>
          <t>st.p5.overfull_wisdom</t>
        </is>
      </c>
      <c r="D56" s="16" t="inlineStr">
        <is>
          <t>пресыщение мудростью</t>
        </is>
      </c>
      <c r="E56" s="16" t="inlineStr">
        <is>
          <t>state</t>
        </is>
      </c>
      <c r="F56" s="16" t="inlineStr">
        <is>
          <t>leads_to</t>
        </is>
      </c>
      <c r="G56" s="16" t="inlineStr">
        <is>
          <t>ведёт к</t>
        </is>
      </c>
      <c r="H56" s="16" t="inlineStr">
        <is>
          <t>ev.p5_6.need_hands_for_giving</t>
        </is>
      </c>
      <c r="I56" s="16" t="inlineStr">
        <is>
          <t>нужда в простёртых руках ради дара</t>
        </is>
      </c>
      <c r="J56" s="16" t="inlineStr">
        <is>
          <t>event</t>
        </is>
      </c>
      <c r="K56" s="16" t="inlineStr">
        <is>
          <t>source_linked</t>
        </is>
      </c>
      <c r="L56" s="16" t="inlineStr">
        <is>
          <t>1,1,1,5</t>
        </is>
      </c>
      <c r="M56" s="16" t="inlineStr">
        <is>
          <t>1,1,1,6</t>
        </is>
      </c>
      <c r="N56" s="16" t="n">
        <v>5</v>
      </c>
      <c r="O56" s="16" t="n">
        <v>6</v>
      </c>
      <c r="P56" s="16" t="inlineStr">
        <is>
          <t>[5]-[6]</t>
        </is>
      </c>
      <c r="Q56" s="16" t="inlineStr">
        <is>
          <t>|p5|p6|</t>
        </is>
      </c>
      <c r="R56" s="16" t="inlineStr">
        <is>
          <t>seg.1.1.1.5|seg.1.1.1.6</t>
        </is>
      </c>
      <c r="S56" s="16" t="inlineStr">
        <is>
          <t>de+ru+en</t>
        </is>
      </c>
      <c r="T56" s="16" t="inlineStr">
        <is>
          <t>multi_anchor</t>
        </is>
      </c>
      <c r="U56" s="16" t="inlineStr">
        <is>
          <t>избыток ищет адресата</t>
        </is>
      </c>
    </row>
    <row r="57" ht="30" customHeight="1">
      <c r="A57" s="15" t="inlineStr">
        <is>
          <t>m046</t>
        </is>
      </c>
      <c r="B57" s="15" t="inlineStr">
        <is>
          <t>source_edge</t>
        </is>
      </c>
      <c r="C57" s="15" t="inlineStr">
        <is>
          <t>n.zarathustra</t>
        </is>
      </c>
      <c r="D57" s="15" t="inlineStr">
        <is>
          <t>Заратустра</t>
        </is>
      </c>
      <c r="E57" s="15" t="inlineStr">
        <is>
          <t>persona</t>
        </is>
      </c>
      <c r="F57" s="15" t="inlineStr">
        <is>
          <t>performs</t>
        </is>
      </c>
      <c r="G57" s="15" t="inlineStr">
        <is>
          <t>совершает</t>
        </is>
      </c>
      <c r="H57" s="15" t="inlineStr">
        <is>
          <t>ev.p5_6.need_hands_for_giving</t>
        </is>
      </c>
      <c r="I57" s="15" t="inlineStr">
        <is>
          <t>нужда в простёртых руках ради дара</t>
        </is>
      </c>
      <c r="J57" s="15" t="inlineStr">
        <is>
          <t>event</t>
        </is>
      </c>
      <c r="K57" s="15" t="inlineStr">
        <is>
          <t>source_linked</t>
        </is>
      </c>
      <c r="L57" s="15" t="inlineStr">
        <is>
          <t>1,1,1,5</t>
        </is>
      </c>
      <c r="M57" s="15" t="inlineStr">
        <is>
          <t>1,1,1,6</t>
        </is>
      </c>
      <c r="N57" s="15" t="n">
        <v>5</v>
      </c>
      <c r="O57" s="15" t="n">
        <v>6</v>
      </c>
      <c r="P57" s="15" t="inlineStr">
        <is>
          <t>[5]-[6]</t>
        </is>
      </c>
      <c r="Q57" s="15" t="inlineStr">
        <is>
          <t>|p5|p6|</t>
        </is>
      </c>
      <c r="R57" s="15" t="inlineStr">
        <is>
          <t>seg.1.1.1.5|seg.1.1.1.6</t>
        </is>
      </c>
      <c r="S57" s="15" t="inlineStr">
        <is>
          <t>de+ru+en</t>
        </is>
      </c>
      <c r="T57" s="15" t="inlineStr">
        <is>
          <t>multi_anchor</t>
        </is>
      </c>
      <c r="U57" s="15" t="inlineStr"/>
    </row>
    <row r="58" ht="30" customHeight="1">
      <c r="A58" s="15" t="inlineStr">
        <is>
          <t>m047</t>
        </is>
      </c>
      <c r="B58" s="15" t="inlineStr">
        <is>
          <t>source_edge</t>
        </is>
      </c>
      <c r="C58" s="15" t="inlineStr">
        <is>
          <t>ev.p5_6.need_hands_for_giving</t>
        </is>
      </c>
      <c r="D58" s="15" t="inlineStr">
        <is>
          <t>нужда в простёртых руках ради дара</t>
        </is>
      </c>
      <c r="E58" s="15" t="inlineStr">
        <is>
          <t>event</t>
        </is>
      </c>
      <c r="F58" s="15" t="inlineStr">
        <is>
          <t>requires</t>
        </is>
      </c>
      <c r="G58" s="15" t="inlineStr">
        <is>
          <t>требует</t>
        </is>
      </c>
      <c r="H58" s="15" t="inlineStr">
        <is>
          <t>n.outstretched_hands</t>
        </is>
      </c>
      <c r="I58" s="15" t="inlineStr">
        <is>
          <t>простёртые руки</t>
        </is>
      </c>
      <c r="J58" s="15" t="inlineStr">
        <is>
          <t>recipient-interface</t>
        </is>
      </c>
      <c r="K58" s="15" t="inlineStr">
        <is>
          <t>source_linked</t>
        </is>
      </c>
      <c r="L58" s="15" t="inlineStr">
        <is>
          <t>1,1,1,5</t>
        </is>
      </c>
      <c r="M58" s="15" t="inlineStr">
        <is>
          <t>1,1,1,6</t>
        </is>
      </c>
      <c r="N58" s="15" t="n">
        <v>5</v>
      </c>
      <c r="O58" s="15" t="n">
        <v>6</v>
      </c>
      <c r="P58" s="15" t="inlineStr">
        <is>
          <t>[5]-[6]</t>
        </is>
      </c>
      <c r="Q58" s="15" t="inlineStr">
        <is>
          <t>|p5|p6|</t>
        </is>
      </c>
      <c r="R58" s="15" t="inlineStr">
        <is>
          <t>seg.1.1.1.5|seg.1.1.1.6</t>
        </is>
      </c>
      <c r="S58" s="15" t="inlineStr">
        <is>
          <t>de+ru+en</t>
        </is>
      </c>
      <c r="T58" s="15" t="inlineStr">
        <is>
          <t>multi_anchor</t>
        </is>
      </c>
      <c r="U58" s="15" t="inlineStr"/>
    </row>
    <row r="59" ht="30" customHeight="1">
      <c r="A59" s="15" t="inlineStr">
        <is>
          <t>m048</t>
        </is>
      </c>
      <c r="B59" s="15" t="inlineStr">
        <is>
          <t>source_edge</t>
        </is>
      </c>
      <c r="C59" s="15" t="inlineStr">
        <is>
          <t>ev.p5_6.need_hands_for_giving</t>
        </is>
      </c>
      <c r="D59" s="15" t="inlineStr">
        <is>
          <t>нужда в простёртых руках ради дара</t>
        </is>
      </c>
      <c r="E59" s="15" t="inlineStr">
        <is>
          <t>event</t>
        </is>
      </c>
      <c r="F59" s="15" t="inlineStr">
        <is>
          <t>motivated_by</t>
        </is>
      </c>
      <c r="G59" s="15" t="inlineStr">
        <is>
          <t>движимо</t>
        </is>
      </c>
      <c r="H59" s="15" t="inlineStr">
        <is>
          <t>st.p5.overfull_wisdom</t>
        </is>
      </c>
      <c r="I59" s="15" t="inlineStr">
        <is>
          <t>пресыщение мудростью</t>
        </is>
      </c>
      <c r="J59" s="15" t="inlineStr">
        <is>
          <t>state</t>
        </is>
      </c>
      <c r="K59" s="15" t="inlineStr">
        <is>
          <t>source_linked</t>
        </is>
      </c>
      <c r="L59" s="15" t="inlineStr">
        <is>
          <t>1,1,1,5</t>
        </is>
      </c>
      <c r="M59" s="15" t="inlineStr">
        <is>
          <t>1,1,1,6</t>
        </is>
      </c>
      <c r="N59" s="15" t="n">
        <v>5</v>
      </c>
      <c r="O59" s="15" t="n">
        <v>6</v>
      </c>
      <c r="P59" s="15" t="inlineStr">
        <is>
          <t>[5]-[6]</t>
        </is>
      </c>
      <c r="Q59" s="15" t="inlineStr">
        <is>
          <t>|p5|p6|</t>
        </is>
      </c>
      <c r="R59" s="15" t="inlineStr">
        <is>
          <t>seg.1.1.1.5|seg.1.1.1.6</t>
        </is>
      </c>
      <c r="S59" s="15" t="inlineStr">
        <is>
          <t>de+ru+en</t>
        </is>
      </c>
      <c r="T59" s="15" t="inlineStr">
        <is>
          <t>multi_anchor</t>
        </is>
      </c>
      <c r="U59" s="15" t="inlineStr"/>
    </row>
    <row r="60" ht="30" customHeight="1">
      <c r="A60" s="15" t="inlineStr">
        <is>
          <t>m049</t>
        </is>
      </c>
      <c r="B60" s="15" t="inlineStr">
        <is>
          <t>source_edge</t>
        </is>
      </c>
      <c r="C60" s="15" t="inlineStr">
        <is>
          <t>n.zarathustra</t>
        </is>
      </c>
      <c r="D60" s="15" t="inlineStr">
        <is>
          <t>Заратустра</t>
        </is>
      </c>
      <c r="E60" s="15" t="inlineStr">
        <is>
          <t>persona</t>
        </is>
      </c>
      <c r="F60" s="15" t="inlineStr">
        <is>
          <t>performs</t>
        </is>
      </c>
      <c r="G60" s="15" t="inlineStr">
        <is>
          <t>совершает</t>
        </is>
      </c>
      <c r="H60" s="15" t="inlineStr">
        <is>
          <t>ev.p6.bestow_and_distribute</t>
        </is>
      </c>
      <c r="I60" s="15" t="inlineStr">
        <is>
          <t>одаривать и раздавать</t>
        </is>
      </c>
      <c r="J60" s="15" t="inlineStr">
        <is>
          <t>event</t>
        </is>
      </c>
      <c r="K60" s="15" t="inlineStr">
        <is>
          <t>source_linked</t>
        </is>
      </c>
      <c r="L60" s="15" t="inlineStr">
        <is>
          <t>1,1,1,6</t>
        </is>
      </c>
      <c r="M60" s="15" t="inlineStr"/>
      <c r="N60" s="15" t="n">
        <v>6</v>
      </c>
      <c r="O60" s="15" t="n">
        <v>6</v>
      </c>
      <c r="P60" s="15" t="inlineStr">
        <is>
          <t>[6]</t>
        </is>
      </c>
      <c r="Q60" s="15" t="inlineStr">
        <is>
          <t>|p6|</t>
        </is>
      </c>
      <c r="R60" s="15" t="inlineStr">
        <is>
          <t>seg.1.1.1.6</t>
        </is>
      </c>
      <c r="S60" s="15" t="inlineStr">
        <is>
          <t>de+ru+en</t>
        </is>
      </c>
      <c r="T60" s="15" t="inlineStr">
        <is>
          <t>local_chain</t>
        </is>
      </c>
      <c r="U60" s="15" t="inlineStr"/>
    </row>
    <row r="61" ht="30" customHeight="1">
      <c r="A61" s="15" t="inlineStr">
        <is>
          <t>m050</t>
        </is>
      </c>
      <c r="B61" s="15" t="inlineStr">
        <is>
          <t>source_edge</t>
        </is>
      </c>
      <c r="C61" s="15" t="inlineStr">
        <is>
          <t>ev.p6.bestow_and_distribute</t>
        </is>
      </c>
      <c r="D61" s="15" t="inlineStr">
        <is>
          <t>одаривать и раздавать</t>
        </is>
      </c>
      <c r="E61" s="15" t="inlineStr">
        <is>
          <t>event</t>
        </is>
      </c>
      <c r="F61" s="15" t="inlineStr">
        <is>
          <t>has_mode</t>
        </is>
      </c>
      <c r="G61" s="15" t="inlineStr">
        <is>
          <t>имеет модус</t>
        </is>
      </c>
      <c r="H61" s="15" t="inlineStr">
        <is>
          <t>n.bestowal</t>
        </is>
      </c>
      <c r="I61" s="15" t="inlineStr">
        <is>
          <t>одаривание</t>
        </is>
      </c>
      <c r="J61" s="15" t="inlineStr">
        <is>
          <t>act-mode</t>
        </is>
      </c>
      <c r="K61" s="15" t="inlineStr">
        <is>
          <t>source_linked</t>
        </is>
      </c>
      <c r="L61" s="15" t="inlineStr">
        <is>
          <t>1,1,1,6</t>
        </is>
      </c>
      <c r="M61" s="15" t="inlineStr"/>
      <c r="N61" s="15" t="n">
        <v>6</v>
      </c>
      <c r="O61" s="15" t="n">
        <v>6</v>
      </c>
      <c r="P61" s="15" t="inlineStr">
        <is>
          <t>[6]</t>
        </is>
      </c>
      <c r="Q61" s="15" t="inlineStr">
        <is>
          <t>|p6|</t>
        </is>
      </c>
      <c r="R61" s="15" t="inlineStr">
        <is>
          <t>seg.1.1.1.6</t>
        </is>
      </c>
      <c r="S61" s="15" t="inlineStr">
        <is>
          <t>de+ru+en</t>
        </is>
      </c>
      <c r="T61" s="15" t="inlineStr">
        <is>
          <t>local_chain</t>
        </is>
      </c>
      <c r="U61" s="15" t="inlineStr"/>
    </row>
    <row r="62" ht="30" customHeight="1">
      <c r="A62" s="15" t="inlineStr">
        <is>
          <t>m051</t>
        </is>
      </c>
      <c r="B62" s="15" t="inlineStr">
        <is>
          <t>source_edge</t>
        </is>
      </c>
      <c r="C62" s="15" t="inlineStr">
        <is>
          <t>ev.p6.bestow_and_distribute</t>
        </is>
      </c>
      <c r="D62" s="15" t="inlineStr">
        <is>
          <t>одаривать и раздавать</t>
        </is>
      </c>
      <c r="E62" s="15" t="inlineStr">
        <is>
          <t>event</t>
        </is>
      </c>
      <c r="F62" s="15" t="inlineStr">
        <is>
          <t>has_mode</t>
        </is>
      </c>
      <c r="G62" s="15" t="inlineStr">
        <is>
          <t>имеет модус</t>
        </is>
      </c>
      <c r="H62" s="15" t="inlineStr">
        <is>
          <t>n.distribution</t>
        </is>
      </c>
      <c r="I62" s="15" t="inlineStr">
        <is>
          <t>раздача</t>
        </is>
      </c>
      <c r="J62" s="15" t="inlineStr">
        <is>
          <t>act-mode</t>
        </is>
      </c>
      <c r="K62" s="15" t="inlineStr">
        <is>
          <t>source_linked</t>
        </is>
      </c>
      <c r="L62" s="15" t="inlineStr">
        <is>
          <t>1,1,1,6</t>
        </is>
      </c>
      <c r="M62" s="15" t="inlineStr"/>
      <c r="N62" s="15" t="n">
        <v>6</v>
      </c>
      <c r="O62" s="15" t="n">
        <v>6</v>
      </c>
      <c r="P62" s="15" t="inlineStr">
        <is>
          <t>[6]</t>
        </is>
      </c>
      <c r="Q62" s="15" t="inlineStr">
        <is>
          <t>|p6|</t>
        </is>
      </c>
      <c r="R62" s="15" t="inlineStr">
        <is>
          <t>seg.1.1.1.6</t>
        </is>
      </c>
      <c r="S62" s="15" t="inlineStr">
        <is>
          <t>de+ru+en</t>
        </is>
      </c>
      <c r="T62" s="15" t="inlineStr">
        <is>
          <t>local_chain</t>
        </is>
      </c>
      <c r="U62" s="15" t="inlineStr"/>
    </row>
    <row r="63" ht="30" customHeight="1">
      <c r="A63" s="15" t="inlineStr">
        <is>
          <t>m052</t>
        </is>
      </c>
      <c r="B63" s="15" t="inlineStr">
        <is>
          <t>source_edge</t>
        </is>
      </c>
      <c r="C63" s="15" t="inlineStr">
        <is>
          <t>ev.p6.bestow_and_distribute</t>
        </is>
      </c>
      <c r="D63" s="15" t="inlineStr">
        <is>
          <t>одаривать и раздавать</t>
        </is>
      </c>
      <c r="E63" s="15" t="inlineStr">
        <is>
          <t>event</t>
        </is>
      </c>
      <c r="F63" s="15" t="inlineStr">
        <is>
          <t>targets</t>
        </is>
      </c>
      <c r="G63" s="15" t="inlineStr">
        <is>
          <t>направлено к</t>
        </is>
      </c>
      <c r="H63" s="15" t="inlineStr">
        <is>
          <t>n.humans</t>
        </is>
      </c>
      <c r="I63" s="15" t="inlineStr">
        <is>
          <t>люди</t>
        </is>
      </c>
      <c r="J63" s="15" t="inlineStr">
        <is>
          <t>relational_group</t>
        </is>
      </c>
      <c r="K63" s="15" t="inlineStr">
        <is>
          <t>source_linked</t>
        </is>
      </c>
      <c r="L63" s="15" t="inlineStr">
        <is>
          <t>1,1,1,6</t>
        </is>
      </c>
      <c r="M63" s="15" t="inlineStr"/>
      <c r="N63" s="15" t="n">
        <v>6</v>
      </c>
      <c r="O63" s="15" t="n">
        <v>6</v>
      </c>
      <c r="P63" s="15" t="inlineStr">
        <is>
          <t>[6]</t>
        </is>
      </c>
      <c r="Q63" s="15" t="inlineStr">
        <is>
          <t>|p6|</t>
        </is>
      </c>
      <c r="R63" s="15" t="inlineStr">
        <is>
          <t>seg.1.1.1.6</t>
        </is>
      </c>
      <c r="S63" s="15" t="inlineStr">
        <is>
          <t>de+ru+en</t>
        </is>
      </c>
      <c r="T63" s="15" t="inlineStr">
        <is>
          <t>local_chain</t>
        </is>
      </c>
      <c r="U63" s="15" t="inlineStr"/>
    </row>
    <row r="64" ht="30" customHeight="1">
      <c r="A64" s="15" t="inlineStr">
        <is>
          <t>m053</t>
        </is>
      </c>
      <c r="B64" s="15" t="inlineStr">
        <is>
          <t>source_edge</t>
        </is>
      </c>
      <c r="C64" s="15" t="inlineStr">
        <is>
          <t>ev.p6.bestow_and_distribute</t>
        </is>
      </c>
      <c r="D64" s="15" t="inlineStr">
        <is>
          <t>одаривать и раздавать</t>
        </is>
      </c>
      <c r="E64" s="15" t="inlineStr">
        <is>
          <t>event</t>
        </is>
      </c>
      <c r="F64" s="15" t="inlineStr">
        <is>
          <t>continues_until</t>
        </is>
      </c>
      <c r="G64" s="15" t="inlineStr">
        <is>
          <t>длится до</t>
        </is>
      </c>
      <c r="H64" s="15" t="inlineStr">
        <is>
          <t>st.p6.revaluation_of_joy</t>
        </is>
      </c>
      <c r="I64" s="15" t="inlineStr">
        <is>
          <t>переоценка радости и меры</t>
        </is>
      </c>
      <c r="J64" s="15" t="inlineStr">
        <is>
          <t>state</t>
        </is>
      </c>
      <c r="K64" s="15" t="inlineStr">
        <is>
          <t>source_linked</t>
        </is>
      </c>
      <c r="L64" s="15" t="inlineStr">
        <is>
          <t>1,1,1,6</t>
        </is>
      </c>
      <c r="M64" s="15" t="inlineStr"/>
      <c r="N64" s="15" t="n">
        <v>6</v>
      </c>
      <c r="O64" s="15" t="n">
        <v>6</v>
      </c>
      <c r="P64" s="15" t="inlineStr">
        <is>
          <t>[6]</t>
        </is>
      </c>
      <c r="Q64" s="15" t="inlineStr">
        <is>
          <t>|p6|</t>
        </is>
      </c>
      <c r="R64" s="15" t="inlineStr">
        <is>
          <t>seg.1.1.1.6</t>
        </is>
      </c>
      <c r="S64" s="15" t="inlineStr">
        <is>
          <t>de+ru+en</t>
        </is>
      </c>
      <c r="T64" s="15" t="inlineStr">
        <is>
          <t>local_chain</t>
        </is>
      </c>
      <c r="U64" s="15" t="inlineStr"/>
    </row>
    <row r="65" ht="30" customHeight="1">
      <c r="A65" s="15" t="inlineStr">
        <is>
          <t>m054</t>
        </is>
      </c>
      <c r="B65" s="15" t="inlineStr">
        <is>
          <t>source_edge</t>
        </is>
      </c>
      <c r="C65" s="15" t="inlineStr">
        <is>
          <t>st.p6.revaluation_of_joy</t>
        </is>
      </c>
      <c r="D65" s="15" t="inlineStr">
        <is>
          <t>переоценка радости и меры</t>
        </is>
      </c>
      <c r="E65" s="15" t="inlineStr">
        <is>
          <t>state</t>
        </is>
      </c>
      <c r="F65" s="15" t="inlineStr">
        <is>
          <t>affects</t>
        </is>
      </c>
      <c r="G65" s="15" t="inlineStr">
        <is>
          <t>затрагивает</t>
        </is>
      </c>
      <c r="H65" s="15" t="inlineStr">
        <is>
          <t>n.wise_among_humans</t>
        </is>
      </c>
      <c r="I65" s="15" t="inlineStr">
        <is>
          <t>мудрые среди людей</t>
        </is>
      </c>
      <c r="J65" s="15" t="inlineStr">
        <is>
          <t>subgroup</t>
        </is>
      </c>
      <c r="K65" s="15" t="inlineStr">
        <is>
          <t>source_linked</t>
        </is>
      </c>
      <c r="L65" s="15" t="inlineStr">
        <is>
          <t>1,1,1,6</t>
        </is>
      </c>
      <c r="M65" s="15" t="inlineStr"/>
      <c r="N65" s="15" t="n">
        <v>6</v>
      </c>
      <c r="O65" s="15" t="n">
        <v>6</v>
      </c>
      <c r="P65" s="15" t="inlineStr">
        <is>
          <t>[6]</t>
        </is>
      </c>
      <c r="Q65" s="15" t="inlineStr">
        <is>
          <t>|p6|</t>
        </is>
      </c>
      <c r="R65" s="15" t="inlineStr">
        <is>
          <t>seg.1.1.1.6</t>
        </is>
      </c>
      <c r="S65" s="15" t="inlineStr">
        <is>
          <t>de+ru+en</t>
        </is>
      </c>
      <c r="T65" s="15" t="inlineStr">
        <is>
          <t>local_chain</t>
        </is>
      </c>
      <c r="U65" s="15" t="inlineStr"/>
    </row>
    <row r="66" ht="30" customHeight="1">
      <c r="A66" s="15" t="inlineStr">
        <is>
          <t>m055</t>
        </is>
      </c>
      <c r="B66" s="15" t="inlineStr">
        <is>
          <t>source_edge</t>
        </is>
      </c>
      <c r="C66" s="15" t="inlineStr">
        <is>
          <t>n.wise_among_humans</t>
        </is>
      </c>
      <c r="D66" s="15" t="inlineStr">
        <is>
          <t>мудрые среди людей</t>
        </is>
      </c>
      <c r="E66" s="15" t="inlineStr">
        <is>
          <t>subgroup</t>
        </is>
      </c>
      <c r="F66" s="15" t="inlineStr">
        <is>
          <t>subset_of</t>
        </is>
      </c>
      <c r="G66" s="15" t="inlineStr">
        <is>
          <t>является подмножеством</t>
        </is>
      </c>
      <c r="H66" s="15" t="inlineStr">
        <is>
          <t>n.humans</t>
        </is>
      </c>
      <c r="I66" s="15" t="inlineStr">
        <is>
          <t>люди</t>
        </is>
      </c>
      <c r="J66" s="15" t="inlineStr">
        <is>
          <t>relational_group</t>
        </is>
      </c>
      <c r="K66" s="15" t="inlineStr">
        <is>
          <t>source_linked</t>
        </is>
      </c>
      <c r="L66" s="15" t="inlineStr">
        <is>
          <t>1,1,1,6</t>
        </is>
      </c>
      <c r="M66" s="15" t="inlineStr"/>
      <c r="N66" s="15" t="n">
        <v>6</v>
      </c>
      <c r="O66" s="15" t="n">
        <v>6</v>
      </c>
      <c r="P66" s="15" t="inlineStr">
        <is>
          <t>[6]</t>
        </is>
      </c>
      <c r="Q66" s="15" t="inlineStr">
        <is>
          <t>|p6|</t>
        </is>
      </c>
      <c r="R66" s="15" t="inlineStr">
        <is>
          <t>seg.1.1.1.6</t>
        </is>
      </c>
      <c r="S66" s="15" t="inlineStr">
        <is>
          <t>de+ru+en</t>
        </is>
      </c>
      <c r="T66" s="15" t="inlineStr">
        <is>
          <t>local_chain</t>
        </is>
      </c>
      <c r="U66" s="15" t="inlineStr"/>
    </row>
    <row r="67" ht="30" customHeight="1">
      <c r="A67" s="15" t="inlineStr">
        <is>
          <t>m056</t>
        </is>
      </c>
      <c r="B67" s="15" t="inlineStr">
        <is>
          <t>source_edge</t>
        </is>
      </c>
      <c r="C67" s="15" t="inlineStr">
        <is>
          <t>n.wise_among_humans</t>
        </is>
      </c>
      <c r="D67" s="15" t="inlineStr">
        <is>
          <t>мудрые среди людей</t>
        </is>
      </c>
      <c r="E67" s="15" t="inlineStr">
        <is>
          <t>subgroup</t>
        </is>
      </c>
      <c r="F67" s="15" t="inlineStr">
        <is>
          <t>becomes_glad_of</t>
        </is>
      </c>
      <c r="G67" s="15" t="inlineStr">
        <is>
          <t>становится радостным о</t>
        </is>
      </c>
      <c r="H67" s="15" t="inlineStr">
        <is>
          <t>n.folly</t>
        </is>
      </c>
      <c r="I67" s="15" t="inlineStr">
        <is>
          <t>глупость / Thorheit</t>
        </is>
      </c>
      <c r="J67" s="15" t="inlineStr">
        <is>
          <t>concept-tension</t>
        </is>
      </c>
      <c r="K67" s="15" t="inlineStr">
        <is>
          <t>source_linked</t>
        </is>
      </c>
      <c r="L67" s="15" t="inlineStr">
        <is>
          <t>1,1,1,6</t>
        </is>
      </c>
      <c r="M67" s="15" t="inlineStr"/>
      <c r="N67" s="15" t="n">
        <v>6</v>
      </c>
      <c r="O67" s="15" t="n">
        <v>6</v>
      </c>
      <c r="P67" s="15" t="inlineStr">
        <is>
          <t>[6]</t>
        </is>
      </c>
      <c r="Q67" s="15" t="inlineStr">
        <is>
          <t>|p6|</t>
        </is>
      </c>
      <c r="R67" s="15" t="inlineStr">
        <is>
          <t>seg.1.1.1.6</t>
        </is>
      </c>
      <c r="S67" s="15" t="inlineStr">
        <is>
          <t>de+ru+en</t>
        </is>
      </c>
      <c r="T67" s="15" t="inlineStr">
        <is>
          <t>local_chain</t>
        </is>
      </c>
      <c r="U67" s="15" t="inlineStr"/>
    </row>
    <row r="68" ht="30" customHeight="1">
      <c r="A68" s="15" t="inlineStr">
        <is>
          <t>m057</t>
        </is>
      </c>
      <c r="B68" s="15" t="inlineStr">
        <is>
          <t>source_edge</t>
        </is>
      </c>
      <c r="C68" s="15" t="inlineStr">
        <is>
          <t>st.p6.revaluation_of_joy</t>
        </is>
      </c>
      <c r="D68" s="15" t="inlineStr">
        <is>
          <t>переоценка радости и меры</t>
        </is>
      </c>
      <c r="E68" s="15" t="inlineStr">
        <is>
          <t>state</t>
        </is>
      </c>
      <c r="F68" s="15" t="inlineStr">
        <is>
          <t>affects</t>
        </is>
      </c>
      <c r="G68" s="15" t="inlineStr">
        <is>
          <t>затрагивает</t>
        </is>
      </c>
      <c r="H68" s="15" t="inlineStr">
        <is>
          <t>n.poor_among_humans</t>
        </is>
      </c>
      <c r="I68" s="15" t="inlineStr">
        <is>
          <t>бедные среди людей</t>
        </is>
      </c>
      <c r="J68" s="15" t="inlineStr">
        <is>
          <t>subgroup</t>
        </is>
      </c>
      <c r="K68" s="15" t="inlineStr">
        <is>
          <t>source_linked</t>
        </is>
      </c>
      <c r="L68" s="15" t="inlineStr">
        <is>
          <t>1,1,1,6</t>
        </is>
      </c>
      <c r="M68" s="15" t="inlineStr"/>
      <c r="N68" s="15" t="n">
        <v>6</v>
      </c>
      <c r="O68" s="15" t="n">
        <v>6</v>
      </c>
      <c r="P68" s="15" t="inlineStr">
        <is>
          <t>[6]</t>
        </is>
      </c>
      <c r="Q68" s="15" t="inlineStr">
        <is>
          <t>|p6|</t>
        </is>
      </c>
      <c r="R68" s="15" t="inlineStr">
        <is>
          <t>seg.1.1.1.6</t>
        </is>
      </c>
      <c r="S68" s="15" t="inlineStr">
        <is>
          <t>de+ru+en</t>
        </is>
      </c>
      <c r="T68" s="15" t="inlineStr">
        <is>
          <t>local_chain</t>
        </is>
      </c>
      <c r="U68" s="15" t="inlineStr"/>
    </row>
    <row r="69" ht="30" customHeight="1">
      <c r="A69" s="15" t="inlineStr">
        <is>
          <t>m058</t>
        </is>
      </c>
      <c r="B69" s="15" t="inlineStr">
        <is>
          <t>source_edge</t>
        </is>
      </c>
      <c r="C69" s="15" t="inlineStr">
        <is>
          <t>n.poor_among_humans</t>
        </is>
      </c>
      <c r="D69" s="15" t="inlineStr">
        <is>
          <t>бедные среди людей</t>
        </is>
      </c>
      <c r="E69" s="15" t="inlineStr">
        <is>
          <t>subgroup</t>
        </is>
      </c>
      <c r="F69" s="15" t="inlineStr">
        <is>
          <t>subset_of</t>
        </is>
      </c>
      <c r="G69" s="15" t="inlineStr">
        <is>
          <t>является подмножеством</t>
        </is>
      </c>
      <c r="H69" s="15" t="inlineStr">
        <is>
          <t>n.humans</t>
        </is>
      </c>
      <c r="I69" s="15" t="inlineStr">
        <is>
          <t>люди</t>
        </is>
      </c>
      <c r="J69" s="15" t="inlineStr">
        <is>
          <t>relational_group</t>
        </is>
      </c>
      <c r="K69" s="15" t="inlineStr">
        <is>
          <t>source_linked</t>
        </is>
      </c>
      <c r="L69" s="15" t="inlineStr">
        <is>
          <t>1,1,1,6</t>
        </is>
      </c>
      <c r="M69" s="15" t="inlineStr"/>
      <c r="N69" s="15" t="n">
        <v>6</v>
      </c>
      <c r="O69" s="15" t="n">
        <v>6</v>
      </c>
      <c r="P69" s="15" t="inlineStr">
        <is>
          <t>[6]</t>
        </is>
      </c>
      <c r="Q69" s="15" t="inlineStr">
        <is>
          <t>|p6|</t>
        </is>
      </c>
      <c r="R69" s="15" t="inlineStr">
        <is>
          <t>seg.1.1.1.6</t>
        </is>
      </c>
      <c r="S69" s="15" t="inlineStr">
        <is>
          <t>de+ru+en</t>
        </is>
      </c>
      <c r="T69" s="15" t="inlineStr">
        <is>
          <t>local_chain</t>
        </is>
      </c>
      <c r="U69" s="15" t="inlineStr"/>
    </row>
    <row r="70" ht="30" customHeight="1">
      <c r="A70" s="15" t="inlineStr">
        <is>
          <t>m059</t>
        </is>
      </c>
      <c r="B70" s="15" t="inlineStr">
        <is>
          <t>source_edge</t>
        </is>
      </c>
      <c r="C70" s="15" t="inlineStr">
        <is>
          <t>n.poor_among_humans</t>
        </is>
      </c>
      <c r="D70" s="15" t="inlineStr">
        <is>
          <t>бедные среди людей</t>
        </is>
      </c>
      <c r="E70" s="15" t="inlineStr">
        <is>
          <t>subgroup</t>
        </is>
      </c>
      <c r="F70" s="15" t="inlineStr">
        <is>
          <t>becomes_glad_of</t>
        </is>
      </c>
      <c r="G70" s="15" t="inlineStr">
        <is>
          <t>становится радостным о</t>
        </is>
      </c>
      <c r="H70" s="15" t="inlineStr">
        <is>
          <t>n.wealth</t>
        </is>
      </c>
      <c r="I70" s="15" t="inlineStr">
        <is>
          <t>богатство</t>
        </is>
      </c>
      <c r="J70" s="15" t="inlineStr">
        <is>
          <t>concept</t>
        </is>
      </c>
      <c r="K70" s="15" t="inlineStr">
        <is>
          <t>source_linked</t>
        </is>
      </c>
      <c r="L70" s="15" t="inlineStr">
        <is>
          <t>1,1,1,6</t>
        </is>
      </c>
      <c r="M70" s="15" t="inlineStr"/>
      <c r="N70" s="15" t="n">
        <v>6</v>
      </c>
      <c r="O70" s="15" t="n">
        <v>6</v>
      </c>
      <c r="P70" s="15" t="inlineStr">
        <is>
          <t>[6]</t>
        </is>
      </c>
      <c r="Q70" s="15" t="inlineStr">
        <is>
          <t>|p6|</t>
        </is>
      </c>
      <c r="R70" s="15" t="inlineStr">
        <is>
          <t>seg.1.1.1.6</t>
        </is>
      </c>
      <c r="S70" s="15" t="inlineStr">
        <is>
          <t>de+ru+en</t>
        </is>
      </c>
      <c r="T70" s="15" t="inlineStr">
        <is>
          <t>local_chain</t>
        </is>
      </c>
      <c r="U70" s="15" t="inlineStr"/>
    </row>
    <row r="71" ht="30" customHeight="1">
      <c r="A71" s="16" t="inlineStr">
        <is>
          <t>m060</t>
        </is>
      </c>
      <c r="B71" s="16" t="inlineStr">
        <is>
          <t>bridge_edge</t>
        </is>
      </c>
      <c r="C71" s="16" t="inlineStr">
        <is>
          <t>ev.p6.bestow_and_distribute</t>
        </is>
      </c>
      <c r="D71" s="16" t="inlineStr">
        <is>
          <t>одаривать и раздавать</t>
        </is>
      </c>
      <c r="E71" s="16" t="inlineStr">
        <is>
          <t>event</t>
        </is>
      </c>
      <c r="F71" s="16" t="inlineStr">
        <is>
          <t>leads_to</t>
        </is>
      </c>
      <c r="G71" s="16" t="inlineStr">
        <is>
          <t>ведёт к</t>
        </is>
      </c>
      <c r="H71" s="16" t="inlineStr">
        <is>
          <t>ev.p7.descend_into_depth</t>
        </is>
      </c>
      <c r="I71" s="16" t="inlineStr">
        <is>
          <t>спуск в глубину</t>
        </is>
      </c>
      <c r="J71" s="16" t="inlineStr">
        <is>
          <t>event</t>
        </is>
      </c>
      <c r="K71" s="16" t="inlineStr">
        <is>
          <t>source_linked</t>
        </is>
      </c>
      <c r="L71" s="16" t="inlineStr">
        <is>
          <t>1,1,1,6</t>
        </is>
      </c>
      <c r="M71" s="16" t="inlineStr">
        <is>
          <t>1,1,1,7</t>
        </is>
      </c>
      <c r="N71" s="16" t="n">
        <v>6</v>
      </c>
      <c r="O71" s="16" t="n">
        <v>7</v>
      </c>
      <c r="P71" s="16" t="inlineStr">
        <is>
          <t>[6]-[7]</t>
        </is>
      </c>
      <c r="Q71" s="16" t="inlineStr">
        <is>
          <t>|p6|p7|</t>
        </is>
      </c>
      <c r="R71" s="16" t="inlineStr">
        <is>
          <t>seg.1.1.1.6|seg.1.1.1.7</t>
        </is>
      </c>
      <c r="S71" s="16" t="inlineStr">
        <is>
          <t>de+ru+en</t>
        </is>
      </c>
      <c r="T71" s="16" t="inlineStr">
        <is>
          <t>reasoning_bridge</t>
        </is>
      </c>
      <c r="U71" s="16" t="inlineStr">
        <is>
          <t>дар требует движения вниз</t>
        </is>
      </c>
    </row>
    <row r="72" ht="30" customHeight="1">
      <c r="A72" s="15" t="inlineStr">
        <is>
          <t>m061</t>
        </is>
      </c>
      <c r="B72" s="15" t="inlineStr">
        <is>
          <t>source_edge</t>
        </is>
      </c>
      <c r="C72" s="15" t="inlineStr">
        <is>
          <t>n.zarathustra</t>
        </is>
      </c>
      <c r="D72" s="15" t="inlineStr">
        <is>
          <t>Заратустра</t>
        </is>
      </c>
      <c r="E72" s="15" t="inlineStr">
        <is>
          <t>persona</t>
        </is>
      </c>
      <c r="F72" s="15" t="inlineStr">
        <is>
          <t>performs</t>
        </is>
      </c>
      <c r="G72" s="15" t="inlineStr">
        <is>
          <t>совершает</t>
        </is>
      </c>
      <c r="H72" s="15" t="inlineStr">
        <is>
          <t>ev.p7.descend_into_depth</t>
        </is>
      </c>
      <c r="I72" s="15" t="inlineStr">
        <is>
          <t>спуск в глубину</t>
        </is>
      </c>
      <c r="J72" s="15" t="inlineStr">
        <is>
          <t>event</t>
        </is>
      </c>
      <c r="K72" s="15" t="inlineStr">
        <is>
          <t>source_linked</t>
        </is>
      </c>
      <c r="L72" s="15" t="inlineStr">
        <is>
          <t>1,1,1,7</t>
        </is>
      </c>
      <c r="M72" s="15" t="inlineStr"/>
      <c r="N72" s="15" t="n">
        <v>7</v>
      </c>
      <c r="O72" s="15" t="n">
        <v>7</v>
      </c>
      <c r="P72" s="15" t="inlineStr">
        <is>
          <t>[7]</t>
        </is>
      </c>
      <c r="Q72" s="15" t="inlineStr">
        <is>
          <t>|p7|</t>
        </is>
      </c>
      <c r="R72" s="15" t="inlineStr">
        <is>
          <t>seg.1.1.1.7</t>
        </is>
      </c>
      <c r="S72" s="15" t="inlineStr">
        <is>
          <t>de+ru+en</t>
        </is>
      </c>
      <c r="T72" s="15" t="inlineStr">
        <is>
          <t>local_chain</t>
        </is>
      </c>
      <c r="U72" s="15" t="inlineStr"/>
    </row>
    <row r="73" ht="30" customHeight="1">
      <c r="A73" s="15" t="inlineStr">
        <is>
          <t>m062</t>
        </is>
      </c>
      <c r="B73" s="15" t="inlineStr">
        <is>
          <t>source_edge</t>
        </is>
      </c>
      <c r="C73" s="15" t="inlineStr">
        <is>
          <t>ev.p7.descend_into_depth</t>
        </is>
      </c>
      <c r="D73" s="15" t="inlineStr">
        <is>
          <t>спуск в глубину</t>
        </is>
      </c>
      <c r="E73" s="15" t="inlineStr">
        <is>
          <t>event</t>
        </is>
      </c>
      <c r="F73" s="15" t="inlineStr">
        <is>
          <t>destination</t>
        </is>
      </c>
      <c r="G73" s="15" t="inlineStr">
        <is>
          <t>направляется в</t>
        </is>
      </c>
      <c r="H73" s="15" t="inlineStr">
        <is>
          <t>n.depth</t>
        </is>
      </c>
      <c r="I73" s="15" t="inlineStr">
        <is>
          <t>глубина</t>
        </is>
      </c>
      <c r="J73" s="15" t="inlineStr">
        <is>
          <t>destination-symbol</t>
        </is>
      </c>
      <c r="K73" s="15" t="inlineStr">
        <is>
          <t>source_linked</t>
        </is>
      </c>
      <c r="L73" s="15" t="inlineStr">
        <is>
          <t>1,1,1,7</t>
        </is>
      </c>
      <c r="M73" s="15" t="inlineStr"/>
      <c r="N73" s="15" t="n">
        <v>7</v>
      </c>
      <c r="O73" s="15" t="n">
        <v>7</v>
      </c>
      <c r="P73" s="15" t="inlineStr">
        <is>
          <t>[7]</t>
        </is>
      </c>
      <c r="Q73" s="15" t="inlineStr">
        <is>
          <t>|p7|</t>
        </is>
      </c>
      <c r="R73" s="15" t="inlineStr">
        <is>
          <t>seg.1.1.1.7</t>
        </is>
      </c>
      <c r="S73" s="15" t="inlineStr">
        <is>
          <t>de+ru+en</t>
        </is>
      </c>
      <c r="T73" s="15" t="inlineStr">
        <is>
          <t>local_chain</t>
        </is>
      </c>
      <c r="U73" s="15" t="inlineStr"/>
    </row>
    <row r="74" ht="30" customHeight="1">
      <c r="A74" s="15" t="inlineStr">
        <is>
          <t>m063</t>
        </is>
      </c>
      <c r="B74" s="15" t="inlineStr">
        <is>
          <t>source_edge</t>
        </is>
      </c>
      <c r="C74" s="15" t="inlineStr">
        <is>
          <t>ev.p7.descend_into_depth</t>
        </is>
      </c>
      <c r="D74" s="15" t="inlineStr">
        <is>
          <t>спуск в глубину</t>
        </is>
      </c>
      <c r="E74" s="15" t="inlineStr">
        <is>
          <t>event</t>
        </is>
      </c>
      <c r="F74" s="15" t="inlineStr">
        <is>
          <t>motivated_by</t>
        </is>
      </c>
      <c r="G74" s="15" t="inlineStr">
        <is>
          <t>движимо</t>
        </is>
      </c>
      <c r="H74" s="15" t="inlineStr">
        <is>
          <t>ev.p6.bestow_and_distribute</t>
        </is>
      </c>
      <c r="I74" s="15" t="inlineStr">
        <is>
          <t>одаривать и раздавать</t>
        </is>
      </c>
      <c r="J74" s="15" t="inlineStr">
        <is>
          <t>event</t>
        </is>
      </c>
      <c r="K74" s="15" t="inlineStr">
        <is>
          <t>source_linked</t>
        </is>
      </c>
      <c r="L74" s="15" t="inlineStr">
        <is>
          <t>1,1,1,6</t>
        </is>
      </c>
      <c r="M74" s="15" t="inlineStr">
        <is>
          <t>1,1,1,7</t>
        </is>
      </c>
      <c r="N74" s="15" t="n">
        <v>6</v>
      </c>
      <c r="O74" s="15" t="n">
        <v>7</v>
      </c>
      <c r="P74" s="15" t="inlineStr">
        <is>
          <t>[6]-[7]</t>
        </is>
      </c>
      <c r="Q74" s="15" t="inlineStr">
        <is>
          <t>|p6|p7|</t>
        </is>
      </c>
      <c r="R74" s="15" t="inlineStr">
        <is>
          <t>seg.1.1.1.6|seg.1.1.1.7</t>
        </is>
      </c>
      <c r="S74" s="15" t="inlineStr">
        <is>
          <t>de+ru+en</t>
        </is>
      </c>
      <c r="T74" s="15" t="inlineStr">
        <is>
          <t>multi_anchor</t>
        </is>
      </c>
      <c r="U74" s="15" t="inlineStr"/>
    </row>
    <row r="75" ht="30" customHeight="1">
      <c r="A75" s="15" t="inlineStr">
        <is>
          <t>m064</t>
        </is>
      </c>
      <c r="B75" s="15" t="inlineStr">
        <is>
          <t>source_edge</t>
        </is>
      </c>
      <c r="C75" s="15" t="inlineStr">
        <is>
          <t>n.sun</t>
        </is>
      </c>
      <c r="D75" s="15" t="inlineStr">
        <is>
          <t>солнце / великое светило</t>
        </is>
      </c>
      <c r="E75" s="15" t="inlineStr">
        <is>
          <t>cosmic_entity</t>
        </is>
      </c>
      <c r="F75" s="15" t="inlineStr">
        <is>
          <t>participates_in</t>
        </is>
      </c>
      <c r="G75" s="15" t="inlineStr">
        <is>
          <t>участвует в</t>
        </is>
      </c>
      <c r="H75" s="15" t="inlineStr">
        <is>
          <t>ev.p7.sun_evening_underworld_light</t>
        </is>
      </c>
      <c r="I75" s="15" t="inlineStr">
        <is>
          <t>вечерний ход солнца за море с несением света</t>
        </is>
      </c>
      <c r="J75" s="15" t="inlineStr">
        <is>
          <t>event</t>
        </is>
      </c>
      <c r="K75" s="15" t="inlineStr">
        <is>
          <t>source_linked</t>
        </is>
      </c>
      <c r="L75" s="15" t="inlineStr">
        <is>
          <t>1,1,1,7</t>
        </is>
      </c>
      <c r="M75" s="15" t="inlineStr"/>
      <c r="N75" s="15" t="n">
        <v>7</v>
      </c>
      <c r="O75" s="15" t="n">
        <v>7</v>
      </c>
      <c r="P75" s="15" t="inlineStr">
        <is>
          <t>[7]</t>
        </is>
      </c>
      <c r="Q75" s="15" t="inlineStr">
        <is>
          <t>|p7|</t>
        </is>
      </c>
      <c r="R75" s="15" t="inlineStr">
        <is>
          <t>seg.1.1.1.7</t>
        </is>
      </c>
      <c r="S75" s="15" t="inlineStr">
        <is>
          <t>de+ru+en</t>
        </is>
      </c>
      <c r="T75" s="15" t="inlineStr">
        <is>
          <t>local_chain</t>
        </is>
      </c>
      <c r="U75" s="15" t="inlineStr"/>
    </row>
    <row r="76" ht="30" customHeight="1">
      <c r="A76" s="15" t="inlineStr">
        <is>
          <t>m065</t>
        </is>
      </c>
      <c r="B76" s="15" t="inlineStr">
        <is>
          <t>source_edge</t>
        </is>
      </c>
      <c r="C76" s="15" t="inlineStr">
        <is>
          <t>ev.p7.sun_evening_underworld_light</t>
        </is>
      </c>
      <c r="D76" s="15" t="inlineStr">
        <is>
          <t>вечерний ход солнца за море с несением света</t>
        </is>
      </c>
      <c r="E76" s="15" t="inlineStr">
        <is>
          <t>event</t>
        </is>
      </c>
      <c r="F76" s="15" t="inlineStr">
        <is>
          <t>occurs_in</t>
        </is>
      </c>
      <c r="G76" s="15" t="inlineStr">
        <is>
          <t>происходит в</t>
        </is>
      </c>
      <c r="H76" s="15" t="inlineStr">
        <is>
          <t>n.evening</t>
        </is>
      </c>
      <c r="I76" s="15" t="inlineStr">
        <is>
          <t>вечер</t>
        </is>
      </c>
      <c r="J76" s="15" t="inlineStr">
        <is>
          <t>time-symbol</t>
        </is>
      </c>
      <c r="K76" s="15" t="inlineStr">
        <is>
          <t>source_linked</t>
        </is>
      </c>
      <c r="L76" s="15" t="inlineStr">
        <is>
          <t>1,1,1,7</t>
        </is>
      </c>
      <c r="M76" s="15" t="inlineStr"/>
      <c r="N76" s="15" t="n">
        <v>7</v>
      </c>
      <c r="O76" s="15" t="n">
        <v>7</v>
      </c>
      <c r="P76" s="15" t="inlineStr">
        <is>
          <t>[7]</t>
        </is>
      </c>
      <c r="Q76" s="15" t="inlineStr">
        <is>
          <t>|p7|</t>
        </is>
      </c>
      <c r="R76" s="15" t="inlineStr">
        <is>
          <t>seg.1.1.1.7</t>
        </is>
      </c>
      <c r="S76" s="15" t="inlineStr">
        <is>
          <t>de+ru+en</t>
        </is>
      </c>
      <c r="T76" s="15" t="inlineStr">
        <is>
          <t>local_chain</t>
        </is>
      </c>
      <c r="U76" s="15" t="inlineStr"/>
    </row>
    <row r="77" ht="30" customHeight="1">
      <c r="A77" s="15" t="inlineStr">
        <is>
          <t>m066</t>
        </is>
      </c>
      <c r="B77" s="15" t="inlineStr">
        <is>
          <t>source_edge</t>
        </is>
      </c>
      <c r="C77" s="15" t="inlineStr">
        <is>
          <t>ev.p7.sun_evening_underworld_light</t>
        </is>
      </c>
      <c r="D77" s="15" t="inlineStr">
        <is>
          <t>вечерний ход солнца за море с несением света</t>
        </is>
      </c>
      <c r="E77" s="15" t="inlineStr">
        <is>
          <t>event</t>
        </is>
      </c>
      <c r="F77" s="15" t="inlineStr">
        <is>
          <t>moves_beyond</t>
        </is>
      </c>
      <c r="G77" s="15" t="inlineStr">
        <is>
          <t>уходит за</t>
        </is>
      </c>
      <c r="H77" s="15" t="inlineStr">
        <is>
          <t>n.sea</t>
        </is>
      </c>
      <c r="I77" s="15" t="inlineStr">
        <is>
          <t>море</t>
        </is>
      </c>
      <c r="J77" s="15" t="inlineStr">
        <is>
          <t>threshold-place</t>
        </is>
      </c>
      <c r="K77" s="15" t="inlineStr">
        <is>
          <t>source_linked</t>
        </is>
      </c>
      <c r="L77" s="15" t="inlineStr">
        <is>
          <t>1,1,1,7</t>
        </is>
      </c>
      <c r="M77" s="15" t="inlineStr"/>
      <c r="N77" s="15" t="n">
        <v>7</v>
      </c>
      <c r="O77" s="15" t="n">
        <v>7</v>
      </c>
      <c r="P77" s="15" t="inlineStr">
        <is>
          <t>[7]</t>
        </is>
      </c>
      <c r="Q77" s="15" t="inlineStr">
        <is>
          <t>|p7|</t>
        </is>
      </c>
      <c r="R77" s="15" t="inlineStr">
        <is>
          <t>seg.1.1.1.7</t>
        </is>
      </c>
      <c r="S77" s="15" t="inlineStr">
        <is>
          <t>de+ru+en</t>
        </is>
      </c>
      <c r="T77" s="15" t="inlineStr">
        <is>
          <t>local_chain</t>
        </is>
      </c>
      <c r="U77" s="15" t="inlineStr"/>
    </row>
    <row r="78" ht="30" customHeight="1">
      <c r="A78" s="15" t="inlineStr">
        <is>
          <t>m067</t>
        </is>
      </c>
      <c r="B78" s="15" t="inlineStr">
        <is>
          <t>source_edge</t>
        </is>
      </c>
      <c r="C78" s="15" t="inlineStr">
        <is>
          <t>ev.p7.sun_evening_underworld_light</t>
        </is>
      </c>
      <c r="D78" s="15" t="inlineStr">
        <is>
          <t>вечерний ход солнца за море с несением света</t>
        </is>
      </c>
      <c r="E78" s="15" t="inlineStr">
        <is>
          <t>event</t>
        </is>
      </c>
      <c r="F78" s="15" t="inlineStr">
        <is>
          <t>carries</t>
        </is>
      </c>
      <c r="G78" s="15" t="inlineStr">
        <is>
          <t>несёт</t>
        </is>
      </c>
      <c r="H78" s="15" t="inlineStr">
        <is>
          <t>n.light</t>
        </is>
      </c>
      <c r="I78" s="15" t="inlineStr">
        <is>
          <t>свет</t>
        </is>
      </c>
      <c r="J78" s="15" t="inlineStr">
        <is>
          <t>quality-substance</t>
        </is>
      </c>
      <c r="K78" s="15" t="inlineStr">
        <is>
          <t>source_linked</t>
        </is>
      </c>
      <c r="L78" s="15" t="inlineStr">
        <is>
          <t>1,1,1,7</t>
        </is>
      </c>
      <c r="M78" s="15" t="inlineStr"/>
      <c r="N78" s="15" t="n">
        <v>7</v>
      </c>
      <c r="O78" s="15" t="n">
        <v>7</v>
      </c>
      <c r="P78" s="15" t="inlineStr">
        <is>
          <t>[7]</t>
        </is>
      </c>
      <c r="Q78" s="15" t="inlineStr">
        <is>
          <t>|p7|</t>
        </is>
      </c>
      <c r="R78" s="15" t="inlineStr">
        <is>
          <t>seg.1.1.1.7</t>
        </is>
      </c>
      <c r="S78" s="15" t="inlineStr">
        <is>
          <t>de+ru+en</t>
        </is>
      </c>
      <c r="T78" s="15" t="inlineStr">
        <is>
          <t>local_chain</t>
        </is>
      </c>
      <c r="U78" s="15" t="inlineStr"/>
    </row>
    <row r="79" ht="30" customHeight="1">
      <c r="A79" s="15" t="inlineStr">
        <is>
          <t>m068</t>
        </is>
      </c>
      <c r="B79" s="15" t="inlineStr">
        <is>
          <t>source_edge</t>
        </is>
      </c>
      <c r="C79" s="15" t="inlineStr">
        <is>
          <t>ev.p7.sun_evening_underworld_light</t>
        </is>
      </c>
      <c r="D79" s="15" t="inlineStr">
        <is>
          <t>вечерний ход солнца за море с несением света</t>
        </is>
      </c>
      <c r="E79" s="15" t="inlineStr">
        <is>
          <t>event</t>
        </is>
      </c>
      <c r="F79" s="15" t="inlineStr">
        <is>
          <t>destination</t>
        </is>
      </c>
      <c r="G79" s="15" t="inlineStr">
        <is>
          <t>направляется в</t>
        </is>
      </c>
      <c r="H79" s="15" t="inlineStr">
        <is>
          <t>n.underworld</t>
        </is>
      </c>
      <c r="I79" s="15" t="inlineStr">
        <is>
          <t>подземный мир</t>
        </is>
      </c>
      <c r="J79" s="15" t="inlineStr">
        <is>
          <t>underworld-domain</t>
        </is>
      </c>
      <c r="K79" s="15" t="inlineStr">
        <is>
          <t>source_linked</t>
        </is>
      </c>
      <c r="L79" s="15" t="inlineStr">
        <is>
          <t>1,1,1,7</t>
        </is>
      </c>
      <c r="M79" s="15" t="inlineStr"/>
      <c r="N79" s="15" t="n">
        <v>7</v>
      </c>
      <c r="O79" s="15" t="n">
        <v>7</v>
      </c>
      <c r="P79" s="15" t="inlineStr">
        <is>
          <t>[7]</t>
        </is>
      </c>
      <c r="Q79" s="15" t="inlineStr">
        <is>
          <t>|p7|</t>
        </is>
      </c>
      <c r="R79" s="15" t="inlineStr">
        <is>
          <t>seg.1.1.1.7</t>
        </is>
      </c>
      <c r="S79" s="15" t="inlineStr">
        <is>
          <t>de+ru+en</t>
        </is>
      </c>
      <c r="T79" s="15" t="inlineStr">
        <is>
          <t>local_chain</t>
        </is>
      </c>
      <c r="U79" s="15" t="inlineStr"/>
    </row>
    <row r="80" ht="30" customHeight="1">
      <c r="A80" s="15" t="inlineStr">
        <is>
          <t>m069</t>
        </is>
      </c>
      <c r="B80" s="15" t="inlineStr">
        <is>
          <t>source_edge</t>
        </is>
      </c>
      <c r="C80" s="15" t="inlineStr">
        <is>
          <t>ev.p7_8.descent_named_as_go_under</t>
        </is>
      </c>
      <c r="D80" s="15" t="inlineStr">
        <is>
          <t>нисхождение, названное закатом</t>
        </is>
      </c>
      <c r="E80" s="15" t="inlineStr">
        <is>
          <t>event</t>
        </is>
      </c>
      <c r="F80" s="15" t="inlineStr">
        <is>
          <t>parallels</t>
        </is>
      </c>
      <c r="G80" s="15" t="inlineStr">
        <is>
          <t>параллелен</t>
        </is>
      </c>
      <c r="H80" s="15" t="inlineStr">
        <is>
          <t>ev.p7.descend_into_depth</t>
        </is>
      </c>
      <c r="I80" s="15" t="inlineStr">
        <is>
          <t>спуск в глубину</t>
        </is>
      </c>
      <c r="J80" s="15" t="inlineStr">
        <is>
          <t>event</t>
        </is>
      </c>
      <c r="K80" s="15" t="inlineStr">
        <is>
          <t>source_linked</t>
        </is>
      </c>
      <c r="L80" s="15" t="inlineStr">
        <is>
          <t>1,1,1,7</t>
        </is>
      </c>
      <c r="M80" s="15" t="inlineStr">
        <is>
          <t>1,1,1,8</t>
        </is>
      </c>
      <c r="N80" s="15" t="n">
        <v>7</v>
      </c>
      <c r="O80" s="15" t="n">
        <v>8</v>
      </c>
      <c r="P80" s="15" t="inlineStr">
        <is>
          <t>[7]-[8]</t>
        </is>
      </c>
      <c r="Q80" s="15" t="inlineStr">
        <is>
          <t>|p7|p8|</t>
        </is>
      </c>
      <c r="R80" s="15" t="inlineStr">
        <is>
          <t>seg.1.1.1.7|seg.1.1.1.8</t>
        </is>
      </c>
      <c r="S80" s="15" t="inlineStr">
        <is>
          <t>de+ru+en</t>
        </is>
      </c>
      <c r="T80" s="15" t="inlineStr">
        <is>
          <t>multi_anchor</t>
        </is>
      </c>
      <c r="U80" s="15" t="inlineStr"/>
    </row>
    <row r="81" ht="30" customHeight="1">
      <c r="A81" s="15" t="inlineStr">
        <is>
          <t>m070</t>
        </is>
      </c>
      <c r="B81" s="15" t="inlineStr">
        <is>
          <t>source_edge</t>
        </is>
      </c>
      <c r="C81" s="15" t="inlineStr">
        <is>
          <t>ev.p7_8.descent_named_as_go_under</t>
        </is>
      </c>
      <c r="D81" s="15" t="inlineStr">
        <is>
          <t>нисхождение, названное закатом</t>
        </is>
      </c>
      <c r="E81" s="15" t="inlineStr">
        <is>
          <t>event</t>
        </is>
      </c>
      <c r="F81" s="15" t="inlineStr">
        <is>
          <t>uses_surface</t>
        </is>
      </c>
      <c r="G81" s="15" t="inlineStr">
        <is>
          <t>использует языковую поверхность</t>
        </is>
      </c>
      <c r="H81" s="15" t="inlineStr">
        <is>
          <t>n.go_under</t>
        </is>
      </c>
      <c r="I81" s="15" t="inlineStr">
        <is>
          <t>закатиться / untergehen / go under</t>
        </is>
      </c>
      <c r="J81" s="15" t="inlineStr">
        <is>
          <t>hinge-term</t>
        </is>
      </c>
      <c r="K81" s="15" t="inlineStr">
        <is>
          <t>source_linked</t>
        </is>
      </c>
      <c r="L81" s="15" t="inlineStr">
        <is>
          <t>1,1,1,7</t>
        </is>
      </c>
      <c r="M81" s="15" t="inlineStr">
        <is>
          <t>1,1,1,8</t>
        </is>
      </c>
      <c r="N81" s="15" t="n">
        <v>7</v>
      </c>
      <c r="O81" s="15" t="n">
        <v>8</v>
      </c>
      <c r="P81" s="15" t="inlineStr">
        <is>
          <t>[7]-[8]</t>
        </is>
      </c>
      <c r="Q81" s="15" t="inlineStr">
        <is>
          <t>|p7|p8|</t>
        </is>
      </c>
      <c r="R81" s="15" t="inlineStr">
        <is>
          <t>seg.1.1.1.7|seg.1.1.1.8</t>
        </is>
      </c>
      <c r="S81" s="15" t="inlineStr">
        <is>
          <t>de+ru+en</t>
        </is>
      </c>
      <c r="T81" s="15" t="inlineStr">
        <is>
          <t>multi_anchor</t>
        </is>
      </c>
      <c r="U81" s="15" t="inlineStr"/>
    </row>
    <row r="82" ht="30" customHeight="1">
      <c r="A82" s="15" t="inlineStr">
        <is>
          <t>m071</t>
        </is>
      </c>
      <c r="B82" s="15" t="inlineStr">
        <is>
          <t>source_edge</t>
        </is>
      </c>
      <c r="C82" s="15" t="inlineStr">
        <is>
          <t>n.humans</t>
        </is>
      </c>
      <c r="D82" s="15" t="inlineStr">
        <is>
          <t>люди</t>
        </is>
      </c>
      <c r="E82" s="15" t="inlineStr">
        <is>
          <t>relational_group</t>
        </is>
      </c>
      <c r="F82" s="15" t="inlineStr">
        <is>
          <t>names_descent_as</t>
        </is>
      </c>
      <c r="G82" s="15" t="inlineStr">
        <is>
          <t>называет нисхождение как</t>
        </is>
      </c>
      <c r="H82" s="15" t="inlineStr">
        <is>
          <t>n.go_under</t>
        </is>
      </c>
      <c r="I82" s="15" t="inlineStr">
        <is>
          <t>закатиться / untergehen / go under</t>
        </is>
      </c>
      <c r="J82" s="15" t="inlineStr">
        <is>
          <t>hinge-term</t>
        </is>
      </c>
      <c r="K82" s="15" t="inlineStr">
        <is>
          <t>source_linked</t>
        </is>
      </c>
      <c r="L82" s="15" t="inlineStr">
        <is>
          <t>1,1,1,8</t>
        </is>
      </c>
      <c r="M82" s="15" t="inlineStr"/>
      <c r="N82" s="15" t="n">
        <v>8</v>
      </c>
      <c r="O82" s="15" t="n">
        <v>8</v>
      </c>
      <c r="P82" s="15" t="inlineStr">
        <is>
          <t>[8]</t>
        </is>
      </c>
      <c r="Q82" s="15" t="inlineStr">
        <is>
          <t>|p8|</t>
        </is>
      </c>
      <c r="R82" s="15" t="inlineStr">
        <is>
          <t>seg.1.1.1.8</t>
        </is>
      </c>
      <c r="S82" s="15" t="inlineStr">
        <is>
          <t>de+ru+en</t>
        </is>
      </c>
      <c r="T82" s="15" t="inlineStr">
        <is>
          <t>local_chain</t>
        </is>
      </c>
      <c r="U82" s="15" t="inlineStr">
        <is>
          <t>человеческое имя для нисхождения</t>
        </is>
      </c>
    </row>
    <row r="83" ht="30" customHeight="1">
      <c r="A83" s="15" t="inlineStr">
        <is>
          <t>m072</t>
        </is>
      </c>
      <c r="B83" s="15" t="inlineStr">
        <is>
          <t>source_edge</t>
        </is>
      </c>
      <c r="C83" s="15" t="inlineStr">
        <is>
          <t>n.zarathustra</t>
        </is>
      </c>
      <c r="D83" s="15" t="inlineStr">
        <is>
          <t>Заратустра</t>
        </is>
      </c>
      <c r="E83" s="15" t="inlineStr">
        <is>
          <t>persona</t>
        </is>
      </c>
      <c r="F83" s="15" t="inlineStr">
        <is>
          <t>performs</t>
        </is>
      </c>
      <c r="G83" s="15" t="inlineStr">
        <is>
          <t>совершает</t>
        </is>
      </c>
      <c r="H83" s="15" t="inlineStr">
        <is>
          <t>ev.p8.go_under_to_humans</t>
        </is>
      </c>
      <c r="I83" s="15" t="inlineStr">
        <is>
          <t>закатиться к людям</t>
        </is>
      </c>
      <c r="J83" s="15" t="inlineStr">
        <is>
          <t>event</t>
        </is>
      </c>
      <c r="K83" s="15" t="inlineStr">
        <is>
          <t>source_linked</t>
        </is>
      </c>
      <c r="L83" s="15" t="inlineStr">
        <is>
          <t>1,1,1,8</t>
        </is>
      </c>
      <c r="M83" s="15" t="inlineStr"/>
      <c r="N83" s="15" t="n">
        <v>8</v>
      </c>
      <c r="O83" s="15" t="n">
        <v>8</v>
      </c>
      <c r="P83" s="15" t="inlineStr">
        <is>
          <t>[8]</t>
        </is>
      </c>
      <c r="Q83" s="15" t="inlineStr">
        <is>
          <t>|p8|</t>
        </is>
      </c>
      <c r="R83" s="15" t="inlineStr">
        <is>
          <t>seg.1.1.1.8</t>
        </is>
      </c>
      <c r="S83" s="15" t="inlineStr">
        <is>
          <t>de+ru+en</t>
        </is>
      </c>
      <c r="T83" s="15" t="inlineStr">
        <is>
          <t>local_chain</t>
        </is>
      </c>
      <c r="U83" s="15" t="inlineStr"/>
    </row>
    <row r="84" ht="30" customHeight="1">
      <c r="A84" s="15" t="inlineStr">
        <is>
          <t>m073</t>
        </is>
      </c>
      <c r="B84" s="15" t="inlineStr">
        <is>
          <t>source_edge</t>
        </is>
      </c>
      <c r="C84" s="15" t="inlineStr">
        <is>
          <t>ev.p8.go_under_to_humans</t>
        </is>
      </c>
      <c r="D84" s="15" t="inlineStr">
        <is>
          <t>закатиться к людям</t>
        </is>
      </c>
      <c r="E84" s="15" t="inlineStr">
        <is>
          <t>event</t>
        </is>
      </c>
      <c r="F84" s="15" t="inlineStr">
        <is>
          <t>targets</t>
        </is>
      </c>
      <c r="G84" s="15" t="inlineStr">
        <is>
          <t>направлено к</t>
        </is>
      </c>
      <c r="H84" s="15" t="inlineStr">
        <is>
          <t>n.humans</t>
        </is>
      </c>
      <c r="I84" s="15" t="inlineStr">
        <is>
          <t>люди</t>
        </is>
      </c>
      <c r="J84" s="15" t="inlineStr">
        <is>
          <t>relational_group</t>
        </is>
      </c>
      <c r="K84" s="15" t="inlineStr">
        <is>
          <t>source_linked</t>
        </is>
      </c>
      <c r="L84" s="15" t="inlineStr">
        <is>
          <t>1,1,1,8</t>
        </is>
      </c>
      <c r="M84" s="15" t="inlineStr"/>
      <c r="N84" s="15" t="n">
        <v>8</v>
      </c>
      <c r="O84" s="15" t="n">
        <v>8</v>
      </c>
      <c r="P84" s="15" t="inlineStr">
        <is>
          <t>[8]</t>
        </is>
      </c>
      <c r="Q84" s="15" t="inlineStr">
        <is>
          <t>|p8|</t>
        </is>
      </c>
      <c r="R84" s="15" t="inlineStr">
        <is>
          <t>seg.1.1.1.8</t>
        </is>
      </c>
      <c r="S84" s="15" t="inlineStr">
        <is>
          <t>de+ru+en</t>
        </is>
      </c>
      <c r="T84" s="15" t="inlineStr">
        <is>
          <t>local_chain</t>
        </is>
      </c>
      <c r="U84" s="15" t="inlineStr"/>
    </row>
    <row r="85" ht="30" customHeight="1">
      <c r="A85" s="15" t="inlineStr">
        <is>
          <t>m074</t>
        </is>
      </c>
      <c r="B85" s="15" t="inlineStr">
        <is>
          <t>source_edge</t>
        </is>
      </c>
      <c r="C85" s="15" t="inlineStr">
        <is>
          <t>ev.p8.go_under_to_humans</t>
        </is>
      </c>
      <c r="D85" s="15" t="inlineStr">
        <is>
          <t>закатиться к людям</t>
        </is>
      </c>
      <c r="E85" s="15" t="inlineStr">
        <is>
          <t>event</t>
        </is>
      </c>
      <c r="F85" s="15" t="inlineStr">
        <is>
          <t>mirrors</t>
        </is>
      </c>
      <c r="G85" s="15" t="inlineStr">
        <is>
          <t>отзеркаливает</t>
        </is>
      </c>
      <c r="H85" s="15" t="inlineStr">
        <is>
          <t>ev.p7.sun_evening_underworld_light</t>
        </is>
      </c>
      <c r="I85" s="15" t="inlineStr">
        <is>
          <t>вечерний ход солнца за море с несением света</t>
        </is>
      </c>
      <c r="J85" s="15" t="inlineStr">
        <is>
          <t>event</t>
        </is>
      </c>
      <c r="K85" s="15" t="inlineStr">
        <is>
          <t>source_linked</t>
        </is>
      </c>
      <c r="L85" s="15" t="inlineStr">
        <is>
          <t>1,1,1,7</t>
        </is>
      </c>
      <c r="M85" s="15" t="inlineStr">
        <is>
          <t>1,1,1,8</t>
        </is>
      </c>
      <c r="N85" s="15" t="n">
        <v>7</v>
      </c>
      <c r="O85" s="15" t="n">
        <v>8</v>
      </c>
      <c r="P85" s="15" t="inlineStr">
        <is>
          <t>[7]-[8]</t>
        </is>
      </c>
      <c r="Q85" s="15" t="inlineStr">
        <is>
          <t>|p7|p8|</t>
        </is>
      </c>
      <c r="R85" s="15" t="inlineStr">
        <is>
          <t>seg.1.1.1.7|seg.1.1.1.8</t>
        </is>
      </c>
      <c r="S85" s="15" t="inlineStr">
        <is>
          <t>de+ru+en</t>
        </is>
      </c>
      <c r="T85" s="15" t="inlineStr">
        <is>
          <t>reasoning_bridge</t>
        </is>
      </c>
      <c r="U85" s="15" t="inlineStr"/>
    </row>
    <row r="86" ht="30" customHeight="1">
      <c r="A86" s="16" t="inlineStr">
        <is>
          <t>m075</t>
        </is>
      </c>
      <c r="B86" s="16" t="inlineStr">
        <is>
          <t>bridge_edge</t>
        </is>
      </c>
      <c r="C86" s="16" t="inlineStr">
        <is>
          <t>ev.p8.go_under_to_humans</t>
        </is>
      </c>
      <c r="D86" s="16" t="inlineStr">
        <is>
          <t>закатиться к людям</t>
        </is>
      </c>
      <c r="E86" s="16" t="inlineStr">
        <is>
          <t>event</t>
        </is>
      </c>
      <c r="F86" s="16" t="inlineStr">
        <is>
          <t>prepares</t>
        </is>
      </c>
      <c r="G86" s="16" t="inlineStr">
        <is>
          <t>подготавливает</t>
        </is>
      </c>
      <c r="H86" s="16" t="inlineStr">
        <is>
          <t>ev.p9.request_blessing_from_tranquil_eye</t>
        </is>
      </c>
      <c r="I86" s="16" t="inlineStr">
        <is>
          <t>просьба о благословении к спокойному оку</t>
        </is>
      </c>
      <c r="J86" s="16" t="inlineStr">
        <is>
          <t>event</t>
        </is>
      </c>
      <c r="K86" s="16" t="inlineStr">
        <is>
          <t>source_linked</t>
        </is>
      </c>
      <c r="L86" s="16" t="inlineStr">
        <is>
          <t>1,1,1,8</t>
        </is>
      </c>
      <c r="M86" s="16" t="inlineStr">
        <is>
          <t>1,1,1,9</t>
        </is>
      </c>
      <c r="N86" s="16" t="n">
        <v>8</v>
      </c>
      <c r="O86" s="16" t="n">
        <v>9</v>
      </c>
      <c r="P86" s="16" t="inlineStr">
        <is>
          <t>[8]-[9]</t>
        </is>
      </c>
      <c r="Q86" s="16" t="inlineStr">
        <is>
          <t>|p8|p9|</t>
        </is>
      </c>
      <c r="R86" s="16" t="inlineStr">
        <is>
          <t>seg.1.1.1.8|seg.1.1.1.9</t>
        </is>
      </c>
      <c r="S86" s="16" t="inlineStr">
        <is>
          <t>de+ru+en</t>
        </is>
      </c>
      <c r="T86" s="16" t="inlineStr">
        <is>
          <t>reasoning_bridge</t>
        </is>
      </c>
      <c r="U86" s="16" t="inlineStr"/>
    </row>
    <row r="87" ht="30" customHeight="1">
      <c r="A87" s="15" t="inlineStr">
        <is>
          <t>m076</t>
        </is>
      </c>
      <c r="B87" s="15" t="inlineStr">
        <is>
          <t>source_edge</t>
        </is>
      </c>
      <c r="C87" s="15" t="inlineStr">
        <is>
          <t>n.zarathustra</t>
        </is>
      </c>
      <c r="D87" s="15" t="inlineStr">
        <is>
          <t>Заратустра</t>
        </is>
      </c>
      <c r="E87" s="15" t="inlineStr">
        <is>
          <t>persona</t>
        </is>
      </c>
      <c r="F87" s="15" t="inlineStr">
        <is>
          <t>performs</t>
        </is>
      </c>
      <c r="G87" s="15" t="inlineStr">
        <is>
          <t>совершает</t>
        </is>
      </c>
      <c r="H87" s="15" t="inlineStr">
        <is>
          <t>ev.p9.request_blessing_from_tranquil_eye</t>
        </is>
      </c>
      <c r="I87" s="15" t="inlineStr">
        <is>
          <t>просьба о благословении к спокойному оку</t>
        </is>
      </c>
      <c r="J87" s="15" t="inlineStr">
        <is>
          <t>event</t>
        </is>
      </c>
      <c r="K87" s="15" t="inlineStr">
        <is>
          <t>source_linked</t>
        </is>
      </c>
      <c r="L87" s="15" t="inlineStr">
        <is>
          <t>1,1,1,9</t>
        </is>
      </c>
      <c r="M87" s="15" t="inlineStr"/>
      <c r="N87" s="15" t="n">
        <v>9</v>
      </c>
      <c r="O87" s="15" t="n">
        <v>9</v>
      </c>
      <c r="P87" s="15" t="inlineStr">
        <is>
          <t>[9]</t>
        </is>
      </c>
      <c r="Q87" s="15" t="inlineStr">
        <is>
          <t>|p9|</t>
        </is>
      </c>
      <c r="R87" s="15" t="inlineStr">
        <is>
          <t>seg.1.1.1.9</t>
        </is>
      </c>
      <c r="S87" s="15" t="inlineStr">
        <is>
          <t>de+ru+en</t>
        </is>
      </c>
      <c r="T87" s="15" t="inlineStr">
        <is>
          <t>local_chain</t>
        </is>
      </c>
      <c r="U87" s="15" t="inlineStr"/>
    </row>
    <row r="88" ht="30" customHeight="1">
      <c r="A88" s="15" t="inlineStr">
        <is>
          <t>m077</t>
        </is>
      </c>
      <c r="B88" s="15" t="inlineStr">
        <is>
          <t>source_edge</t>
        </is>
      </c>
      <c r="C88" s="15" t="inlineStr">
        <is>
          <t>ev.p9.request_blessing_from_tranquil_eye</t>
        </is>
      </c>
      <c r="D88" s="15" t="inlineStr">
        <is>
          <t>просьба о благословении к спокойному оку</t>
        </is>
      </c>
      <c r="E88" s="15" t="inlineStr">
        <is>
          <t>event</t>
        </is>
      </c>
      <c r="F88" s="15" t="inlineStr">
        <is>
          <t>addresses</t>
        </is>
      </c>
      <c r="G88" s="15" t="inlineStr">
        <is>
          <t>обращается к</t>
        </is>
      </c>
      <c r="H88" s="15" t="inlineStr">
        <is>
          <t>n.tranquil_eye</t>
        </is>
      </c>
      <c r="I88" s="15" t="inlineStr">
        <is>
          <t>спокойное око</t>
        </is>
      </c>
      <c r="J88" s="15" t="inlineStr">
        <is>
          <t>solar-aspect</t>
        </is>
      </c>
      <c r="K88" s="15" t="inlineStr">
        <is>
          <t>source_linked</t>
        </is>
      </c>
      <c r="L88" s="15" t="inlineStr">
        <is>
          <t>1,1,1,9</t>
        </is>
      </c>
      <c r="M88" s="15" t="inlineStr"/>
      <c r="N88" s="15" t="n">
        <v>9</v>
      </c>
      <c r="O88" s="15" t="n">
        <v>9</v>
      </c>
      <c r="P88" s="15" t="inlineStr">
        <is>
          <t>[9]</t>
        </is>
      </c>
      <c r="Q88" s="15" t="inlineStr">
        <is>
          <t>|p9|</t>
        </is>
      </c>
      <c r="R88" s="15" t="inlineStr">
        <is>
          <t>seg.1.1.1.9</t>
        </is>
      </c>
      <c r="S88" s="15" t="inlineStr">
        <is>
          <t>de+ru+en</t>
        </is>
      </c>
      <c r="T88" s="15" t="inlineStr">
        <is>
          <t>local_chain</t>
        </is>
      </c>
      <c r="U88" s="15" t="inlineStr"/>
    </row>
    <row r="89" ht="30" customHeight="1">
      <c r="A89" s="15" t="inlineStr">
        <is>
          <t>m078</t>
        </is>
      </c>
      <c r="B89" s="15" t="inlineStr">
        <is>
          <t>source_edge</t>
        </is>
      </c>
      <c r="C89" s="15" t="inlineStr">
        <is>
          <t>n.tranquil_eye</t>
        </is>
      </c>
      <c r="D89" s="15" t="inlineStr">
        <is>
          <t>спокойное око</t>
        </is>
      </c>
      <c r="E89" s="15" t="inlineStr">
        <is>
          <t>solar-aspect</t>
        </is>
      </c>
      <c r="F89" s="15" t="inlineStr">
        <is>
          <t>aspect_of</t>
        </is>
      </c>
      <c r="G89" s="15" t="inlineStr">
        <is>
          <t>является аспектом</t>
        </is>
      </c>
      <c r="H89" s="15" t="inlineStr">
        <is>
          <t>n.sun</t>
        </is>
      </c>
      <c r="I89" s="15" t="inlineStr">
        <is>
          <t>солнце / великое светило</t>
        </is>
      </c>
      <c r="J89" s="15" t="inlineStr">
        <is>
          <t>cosmic_entity</t>
        </is>
      </c>
      <c r="K89" s="15" t="inlineStr">
        <is>
          <t>source_linked</t>
        </is>
      </c>
      <c r="L89" s="15" t="inlineStr">
        <is>
          <t>1,1,1,9</t>
        </is>
      </c>
      <c r="M89" s="15" t="inlineStr"/>
      <c r="N89" s="15" t="n">
        <v>9</v>
      </c>
      <c r="O89" s="15" t="n">
        <v>9</v>
      </c>
      <c r="P89" s="15" t="inlineStr">
        <is>
          <t>[9]</t>
        </is>
      </c>
      <c r="Q89" s="15" t="inlineStr">
        <is>
          <t>|p9|</t>
        </is>
      </c>
      <c r="R89" s="15" t="inlineStr">
        <is>
          <t>seg.1.1.1.9</t>
        </is>
      </c>
      <c r="S89" s="15" t="inlineStr">
        <is>
          <t>de+ru+en</t>
        </is>
      </c>
      <c r="T89" s="15" t="inlineStr">
        <is>
          <t>local_chain</t>
        </is>
      </c>
      <c r="U89" s="15" t="inlineStr">
        <is>
          <t>солнечный образ сужен до ока</t>
        </is>
      </c>
    </row>
    <row r="90" ht="30" customHeight="1">
      <c r="A90" s="15" t="inlineStr">
        <is>
          <t>m079</t>
        </is>
      </c>
      <c r="B90" s="15" t="inlineStr">
        <is>
          <t>source_edge</t>
        </is>
      </c>
      <c r="C90" s="15" t="inlineStr">
        <is>
          <t>n.tranquil_eye</t>
        </is>
      </c>
      <c r="D90" s="15" t="inlineStr">
        <is>
          <t>спокойное око</t>
        </is>
      </c>
      <c r="E90" s="15" t="inlineStr">
        <is>
          <t>solar-aspect</t>
        </is>
      </c>
      <c r="F90" s="15" t="inlineStr">
        <is>
          <t>participates_in</t>
        </is>
      </c>
      <c r="G90" s="15" t="inlineStr">
        <is>
          <t>участвует в</t>
        </is>
      </c>
      <c r="H90" s="15" t="inlineStr">
        <is>
          <t>st.p9.tranquil_eye_without_envy</t>
        </is>
      </c>
      <c r="I90" s="15" t="inlineStr">
        <is>
          <t>спокойное око без зависти</t>
        </is>
      </c>
      <c r="J90" s="15" t="inlineStr">
        <is>
          <t>state</t>
        </is>
      </c>
      <c r="K90" s="15" t="inlineStr">
        <is>
          <t>source_linked</t>
        </is>
      </c>
      <c r="L90" s="15" t="inlineStr">
        <is>
          <t>1,1,1,9</t>
        </is>
      </c>
      <c r="M90" s="15" t="inlineStr"/>
      <c r="N90" s="15" t="n">
        <v>9</v>
      </c>
      <c r="O90" s="15" t="n">
        <v>9</v>
      </c>
      <c r="P90" s="15" t="inlineStr">
        <is>
          <t>[9]</t>
        </is>
      </c>
      <c r="Q90" s="15" t="inlineStr">
        <is>
          <t>|p9|</t>
        </is>
      </c>
      <c r="R90" s="15" t="inlineStr">
        <is>
          <t>seg.1.1.1.9</t>
        </is>
      </c>
      <c r="S90" s="15" t="inlineStr">
        <is>
          <t>de+ru+en</t>
        </is>
      </c>
      <c r="T90" s="15" t="inlineStr">
        <is>
          <t>local_chain</t>
        </is>
      </c>
      <c r="U90" s="15" t="inlineStr"/>
    </row>
    <row r="91" ht="30" customHeight="1">
      <c r="A91" s="15" t="inlineStr">
        <is>
          <t>m080</t>
        </is>
      </c>
      <c r="B91" s="15" t="inlineStr">
        <is>
          <t>source_edge</t>
        </is>
      </c>
      <c r="C91" s="15" t="inlineStr">
        <is>
          <t>st.p9.tranquil_eye_without_envy</t>
        </is>
      </c>
      <c r="D91" s="15" t="inlineStr">
        <is>
          <t>спокойное око без зависти</t>
        </is>
      </c>
      <c r="E91" s="15" t="inlineStr">
        <is>
          <t>state</t>
        </is>
      </c>
      <c r="F91" s="15" t="inlineStr">
        <is>
          <t>beholds</t>
        </is>
      </c>
      <c r="G91" s="15" t="inlineStr">
        <is>
          <t>созерцает</t>
        </is>
      </c>
      <c r="H91" s="15" t="inlineStr">
        <is>
          <t>n.all_too_great_happiness</t>
        </is>
      </c>
      <c r="I91" s="15" t="inlineStr">
        <is>
          <t>чрезмерно большое счастье</t>
        </is>
      </c>
      <c r="J91" s="15" t="inlineStr">
        <is>
          <t>quality</t>
        </is>
      </c>
      <c r="K91" s="15" t="inlineStr">
        <is>
          <t>source_linked</t>
        </is>
      </c>
      <c r="L91" s="15" t="inlineStr">
        <is>
          <t>1,1,1,9</t>
        </is>
      </c>
      <c r="M91" s="15" t="inlineStr"/>
      <c r="N91" s="15" t="n">
        <v>9</v>
      </c>
      <c r="O91" s="15" t="n">
        <v>9</v>
      </c>
      <c r="P91" s="15" t="inlineStr">
        <is>
          <t>[9]</t>
        </is>
      </c>
      <c r="Q91" s="15" t="inlineStr">
        <is>
          <t>|p9|</t>
        </is>
      </c>
      <c r="R91" s="15" t="inlineStr">
        <is>
          <t>seg.1.1.1.9</t>
        </is>
      </c>
      <c r="S91" s="15" t="inlineStr">
        <is>
          <t>de+ru+en</t>
        </is>
      </c>
      <c r="T91" s="15" t="inlineStr">
        <is>
          <t>local_chain</t>
        </is>
      </c>
      <c r="U91" s="15" t="inlineStr"/>
    </row>
    <row r="92" ht="30" customHeight="1">
      <c r="A92" s="15" t="inlineStr">
        <is>
          <t>m081</t>
        </is>
      </c>
      <c r="B92" s="15" t="inlineStr">
        <is>
          <t>source_edge</t>
        </is>
      </c>
      <c r="C92" s="15" t="inlineStr">
        <is>
          <t>st.p9.tranquil_eye_without_envy</t>
        </is>
      </c>
      <c r="D92" s="15" t="inlineStr">
        <is>
          <t>спокойное око без зависти</t>
        </is>
      </c>
      <c r="E92" s="15" t="inlineStr">
        <is>
          <t>state</t>
        </is>
      </c>
      <c r="F92" s="15" t="inlineStr">
        <is>
          <t>excludes</t>
        </is>
      </c>
      <c r="G92" s="15" t="inlineStr">
        <is>
          <t>исключает</t>
        </is>
      </c>
      <c r="H92" s="15" t="inlineStr">
        <is>
          <t>n.envy</t>
        </is>
      </c>
      <c r="I92" s="15" t="inlineStr">
        <is>
          <t>зависть</t>
        </is>
      </c>
      <c r="J92" s="15" t="inlineStr">
        <is>
          <t>negative-affect</t>
        </is>
      </c>
      <c r="K92" s="15" t="inlineStr">
        <is>
          <t>source_linked</t>
        </is>
      </c>
      <c r="L92" s="15" t="inlineStr">
        <is>
          <t>1,1,1,9</t>
        </is>
      </c>
      <c r="M92" s="15" t="inlineStr"/>
      <c r="N92" s="15" t="n">
        <v>9</v>
      </c>
      <c r="O92" s="15" t="n">
        <v>9</v>
      </c>
      <c r="P92" s="15" t="inlineStr">
        <is>
          <t>[9]</t>
        </is>
      </c>
      <c r="Q92" s="15" t="inlineStr">
        <is>
          <t>|p9|</t>
        </is>
      </c>
      <c r="R92" s="15" t="inlineStr">
        <is>
          <t>seg.1.1.1.9</t>
        </is>
      </c>
      <c r="S92" s="15" t="inlineStr">
        <is>
          <t>de+ru+en</t>
        </is>
      </c>
      <c r="T92" s="15" t="inlineStr">
        <is>
          <t>local_chain</t>
        </is>
      </c>
      <c r="U92" s="15" t="inlineStr"/>
    </row>
    <row r="93" ht="30" customHeight="1">
      <c r="A93" s="15" t="inlineStr">
        <is>
          <t>m082</t>
        </is>
      </c>
      <c r="B93" s="15" t="inlineStr">
        <is>
          <t>source_edge</t>
        </is>
      </c>
      <c r="C93" s="15" t="inlineStr">
        <is>
          <t>ev.p9.request_blessing_from_tranquil_eye</t>
        </is>
      </c>
      <c r="D93" s="15" t="inlineStr">
        <is>
          <t>просьба о благословении к спокойному оку</t>
        </is>
      </c>
      <c r="E93" s="15" t="inlineStr">
        <is>
          <t>event</t>
        </is>
      </c>
      <c r="F93" s="15" t="inlineStr">
        <is>
          <t>asks_for</t>
        </is>
      </c>
      <c r="G93" s="15" t="inlineStr">
        <is>
          <t>просит</t>
        </is>
      </c>
      <c r="H93" s="15" t="inlineStr">
        <is>
          <t>n.blessing</t>
        </is>
      </c>
      <c r="I93" s="15" t="inlineStr">
        <is>
          <t>благословение</t>
        </is>
      </c>
      <c r="J93" s="15" t="inlineStr">
        <is>
          <t>act</t>
        </is>
      </c>
      <c r="K93" s="15" t="inlineStr">
        <is>
          <t>source_linked</t>
        </is>
      </c>
      <c r="L93" s="15" t="inlineStr">
        <is>
          <t>1,1,1,9</t>
        </is>
      </c>
      <c r="M93" s="15" t="inlineStr"/>
      <c r="N93" s="15" t="n">
        <v>9</v>
      </c>
      <c r="O93" s="15" t="n">
        <v>9</v>
      </c>
      <c r="P93" s="15" t="inlineStr">
        <is>
          <t>[9]</t>
        </is>
      </c>
      <c r="Q93" s="15" t="inlineStr">
        <is>
          <t>|p9|</t>
        </is>
      </c>
      <c r="R93" s="15" t="inlineStr">
        <is>
          <t>seg.1.1.1.9</t>
        </is>
      </c>
      <c r="S93" s="15" t="inlineStr">
        <is>
          <t>de+ru+en</t>
        </is>
      </c>
      <c r="T93" s="15" t="inlineStr">
        <is>
          <t>local_chain</t>
        </is>
      </c>
      <c r="U93" s="15" t="inlineStr"/>
    </row>
    <row r="94" ht="30" customHeight="1">
      <c r="A94" s="16" t="inlineStr">
        <is>
          <t>m083</t>
        </is>
      </c>
      <c r="B94" s="16" t="inlineStr">
        <is>
          <t>bridge_edge</t>
        </is>
      </c>
      <c r="C94" s="16" t="inlineStr">
        <is>
          <t>ev.p9.request_blessing_from_tranquil_eye</t>
        </is>
      </c>
      <c r="D94" s="16" t="inlineStr">
        <is>
          <t>просьба о благословении к спокойному оку</t>
        </is>
      </c>
      <c r="E94" s="16" t="inlineStr">
        <is>
          <t>event</t>
        </is>
      </c>
      <c r="F94" s="16" t="inlineStr">
        <is>
          <t>prepares</t>
        </is>
      </c>
      <c r="G94" s="16" t="inlineStr">
        <is>
          <t>подготавливает</t>
        </is>
      </c>
      <c r="H94" s="16" t="inlineStr">
        <is>
          <t>ev.p10.request_blessing_of_cup</t>
        </is>
      </c>
      <c r="I94" s="16" t="inlineStr">
        <is>
          <t>просьба благословить чашу</t>
        </is>
      </c>
      <c r="J94" s="16" t="inlineStr">
        <is>
          <t>event</t>
        </is>
      </c>
      <c r="K94" s="16" t="inlineStr">
        <is>
          <t>source_linked</t>
        </is>
      </c>
      <c r="L94" s="16" t="inlineStr">
        <is>
          <t>1,1,1,9</t>
        </is>
      </c>
      <c r="M94" s="16" t="inlineStr">
        <is>
          <t>1,1,1,10</t>
        </is>
      </c>
      <c r="N94" s="16" t="n">
        <v>9</v>
      </c>
      <c r="O94" s="16" t="n">
        <v>10</v>
      </c>
      <c r="P94" s="16" t="inlineStr">
        <is>
          <t>[9]-[10]</t>
        </is>
      </c>
      <c r="Q94" s="16" t="inlineStr">
        <is>
          <t>|p9|p10|</t>
        </is>
      </c>
      <c r="R94" s="16" t="inlineStr">
        <is>
          <t>seg.1.1.1.9|seg.1.1.1.10</t>
        </is>
      </c>
      <c r="S94" s="16" t="inlineStr">
        <is>
          <t>de+ru+en</t>
        </is>
      </c>
      <c r="T94" s="16" t="inlineStr">
        <is>
          <t>reasoning_bridge</t>
        </is>
      </c>
      <c r="U94" s="16" t="inlineStr"/>
    </row>
    <row r="95" ht="30" customHeight="1">
      <c r="A95" s="15" t="inlineStr">
        <is>
          <t>m084</t>
        </is>
      </c>
      <c r="B95" s="15" t="inlineStr">
        <is>
          <t>source_edge</t>
        </is>
      </c>
      <c r="C95" s="15" t="inlineStr">
        <is>
          <t>n.zarathustra</t>
        </is>
      </c>
      <c r="D95" s="15" t="inlineStr">
        <is>
          <t>Заратустра</t>
        </is>
      </c>
      <c r="E95" s="15" t="inlineStr">
        <is>
          <t>persona</t>
        </is>
      </c>
      <c r="F95" s="15" t="inlineStr">
        <is>
          <t>performs</t>
        </is>
      </c>
      <c r="G95" s="15" t="inlineStr">
        <is>
          <t>совершает</t>
        </is>
      </c>
      <c r="H95" s="15" t="inlineStr">
        <is>
          <t>ev.p10.request_blessing_of_cup</t>
        </is>
      </c>
      <c r="I95" s="15" t="inlineStr">
        <is>
          <t>просьба благословить чашу</t>
        </is>
      </c>
      <c r="J95" s="15" t="inlineStr">
        <is>
          <t>event</t>
        </is>
      </c>
      <c r="K95" s="15" t="inlineStr">
        <is>
          <t>source_linked</t>
        </is>
      </c>
      <c r="L95" s="15" t="inlineStr">
        <is>
          <t>1,1,1,10</t>
        </is>
      </c>
      <c r="M95" s="15" t="inlineStr"/>
      <c r="N95" s="15" t="n">
        <v>10</v>
      </c>
      <c r="O95" s="15" t="n">
        <v>10</v>
      </c>
      <c r="P95" s="15" t="inlineStr">
        <is>
          <t>[10]</t>
        </is>
      </c>
      <c r="Q95" s="15" t="inlineStr">
        <is>
          <t>|p10|</t>
        </is>
      </c>
      <c r="R95" s="15" t="inlineStr">
        <is>
          <t>seg.1.1.1.10</t>
        </is>
      </c>
      <c r="S95" s="15" t="inlineStr">
        <is>
          <t>de+ru+en</t>
        </is>
      </c>
      <c r="T95" s="15" t="inlineStr">
        <is>
          <t>local_chain</t>
        </is>
      </c>
      <c r="U95" s="15" t="inlineStr"/>
    </row>
    <row r="96" ht="30" customHeight="1">
      <c r="A96" s="15" t="inlineStr">
        <is>
          <t>m085</t>
        </is>
      </c>
      <c r="B96" s="15" t="inlineStr">
        <is>
          <t>source_edge</t>
        </is>
      </c>
      <c r="C96" s="15" t="inlineStr">
        <is>
          <t>ev.p10.request_blessing_of_cup</t>
        </is>
      </c>
      <c r="D96" s="15" t="inlineStr">
        <is>
          <t>просьба благословить чашу</t>
        </is>
      </c>
      <c r="E96" s="15" t="inlineStr">
        <is>
          <t>event</t>
        </is>
      </c>
      <c r="F96" s="15" t="inlineStr">
        <is>
          <t>addresses</t>
        </is>
      </c>
      <c r="G96" s="15" t="inlineStr">
        <is>
          <t>обращается к</t>
        </is>
      </c>
      <c r="H96" s="15" t="inlineStr">
        <is>
          <t>n.tranquil_eye</t>
        </is>
      </c>
      <c r="I96" s="15" t="inlineStr">
        <is>
          <t>спокойное око</t>
        </is>
      </c>
      <c r="J96" s="15" t="inlineStr">
        <is>
          <t>solar-aspect</t>
        </is>
      </c>
      <c r="K96" s="15" t="inlineStr">
        <is>
          <t>source_linked</t>
        </is>
      </c>
      <c r="L96" s="15" t="inlineStr">
        <is>
          <t>1,1,1,10</t>
        </is>
      </c>
      <c r="M96" s="15" t="inlineStr"/>
      <c r="N96" s="15" t="n">
        <v>10</v>
      </c>
      <c r="O96" s="15" t="n">
        <v>10</v>
      </c>
      <c r="P96" s="15" t="inlineStr">
        <is>
          <t>[10]</t>
        </is>
      </c>
      <c r="Q96" s="15" t="inlineStr">
        <is>
          <t>|p10|</t>
        </is>
      </c>
      <c r="R96" s="15" t="inlineStr">
        <is>
          <t>seg.1.1.1.10</t>
        </is>
      </c>
      <c r="S96" s="15" t="inlineStr">
        <is>
          <t>de+ru+en</t>
        </is>
      </c>
      <c r="T96" s="15" t="inlineStr">
        <is>
          <t>local_chain</t>
        </is>
      </c>
      <c r="U96" s="15" t="inlineStr"/>
    </row>
    <row r="97" ht="30" customHeight="1">
      <c r="A97" s="15" t="inlineStr">
        <is>
          <t>m086</t>
        </is>
      </c>
      <c r="B97" s="15" t="inlineStr">
        <is>
          <t>source_edge</t>
        </is>
      </c>
      <c r="C97" s="15" t="inlineStr">
        <is>
          <t>ev.p10.request_blessing_of_cup</t>
        </is>
      </c>
      <c r="D97" s="15" t="inlineStr">
        <is>
          <t>просьба благословить чашу</t>
        </is>
      </c>
      <c r="E97" s="15" t="inlineStr">
        <is>
          <t>event</t>
        </is>
      </c>
      <c r="F97" s="15" t="inlineStr">
        <is>
          <t>targets</t>
        </is>
      </c>
      <c r="G97" s="15" t="inlineStr">
        <is>
          <t>направлено к</t>
        </is>
      </c>
      <c r="H97" s="15" t="inlineStr">
        <is>
          <t>n.cup</t>
        </is>
      </c>
      <c r="I97" s="15" t="inlineStr">
        <is>
          <t>чаша</t>
        </is>
      </c>
      <c r="J97" s="15" t="inlineStr">
        <is>
          <t>vessel-symbol</t>
        </is>
      </c>
      <c r="K97" s="15" t="inlineStr">
        <is>
          <t>source_linked</t>
        </is>
      </c>
      <c r="L97" s="15" t="inlineStr">
        <is>
          <t>1,1,1,10</t>
        </is>
      </c>
      <c r="M97" s="15" t="inlineStr"/>
      <c r="N97" s="15" t="n">
        <v>10</v>
      </c>
      <c r="O97" s="15" t="n">
        <v>10</v>
      </c>
      <c r="P97" s="15" t="inlineStr">
        <is>
          <t>[10]</t>
        </is>
      </c>
      <c r="Q97" s="15" t="inlineStr">
        <is>
          <t>|p10|</t>
        </is>
      </c>
      <c r="R97" s="15" t="inlineStr">
        <is>
          <t>seg.1.1.1.10</t>
        </is>
      </c>
      <c r="S97" s="15" t="inlineStr">
        <is>
          <t>de+ru+en</t>
        </is>
      </c>
      <c r="T97" s="15" t="inlineStr">
        <is>
          <t>local_chain</t>
        </is>
      </c>
      <c r="U97" s="15" t="inlineStr"/>
    </row>
    <row r="98" ht="30" customHeight="1">
      <c r="A98" s="15" t="inlineStr">
        <is>
          <t>m087</t>
        </is>
      </c>
      <c r="B98" s="15" t="inlineStr">
        <is>
          <t>source_edge</t>
        </is>
      </c>
      <c r="C98" s="15" t="inlineStr">
        <is>
          <t>n.cup</t>
        </is>
      </c>
      <c r="D98" s="15" t="inlineStr">
        <is>
          <t>чаша</t>
        </is>
      </c>
      <c r="E98" s="15" t="inlineStr">
        <is>
          <t>vessel-symbol</t>
        </is>
      </c>
      <c r="F98" s="15" t="inlineStr">
        <is>
          <t>participates_in</t>
        </is>
      </c>
      <c r="G98" s="15" t="inlineStr">
        <is>
          <t>участвует в</t>
        </is>
      </c>
      <c r="H98" s="15" t="inlineStr">
        <is>
          <t>st.p10.cup_wants_to_overflow</t>
        </is>
      </c>
      <c r="I98" s="15" t="inlineStr">
        <is>
          <t>чаша хочет перелиться</t>
        </is>
      </c>
      <c r="J98" s="15" t="inlineStr">
        <is>
          <t>state</t>
        </is>
      </c>
      <c r="K98" s="15" t="inlineStr">
        <is>
          <t>source_linked</t>
        </is>
      </c>
      <c r="L98" s="15" t="inlineStr">
        <is>
          <t>1,1,1,10</t>
        </is>
      </c>
      <c r="M98" s="15" t="inlineStr"/>
      <c r="N98" s="15" t="n">
        <v>10</v>
      </c>
      <c r="O98" s="15" t="n">
        <v>10</v>
      </c>
      <c r="P98" s="15" t="inlineStr">
        <is>
          <t>[10]</t>
        </is>
      </c>
      <c r="Q98" s="15" t="inlineStr">
        <is>
          <t>|p10|</t>
        </is>
      </c>
      <c r="R98" s="15" t="inlineStr">
        <is>
          <t>seg.1.1.1.10</t>
        </is>
      </c>
      <c r="S98" s="15" t="inlineStr">
        <is>
          <t>de+ru+en</t>
        </is>
      </c>
      <c r="T98" s="15" t="inlineStr">
        <is>
          <t>local_chain</t>
        </is>
      </c>
      <c r="U98" s="15" t="inlineStr"/>
    </row>
    <row r="99" ht="30" customHeight="1">
      <c r="A99" s="15" t="inlineStr">
        <is>
          <t>m088</t>
        </is>
      </c>
      <c r="B99" s="15" t="inlineStr">
        <is>
          <t>source_edge</t>
        </is>
      </c>
      <c r="C99" s="15" t="inlineStr">
        <is>
          <t>st.p10.cup_wants_to_overflow</t>
        </is>
      </c>
      <c r="D99" s="15" t="inlineStr">
        <is>
          <t>чаша хочет перелиться</t>
        </is>
      </c>
      <c r="E99" s="15" t="inlineStr">
        <is>
          <t>state</t>
        </is>
      </c>
      <c r="F99" s="15" t="inlineStr">
        <is>
          <t>aims_at</t>
        </is>
      </c>
      <c r="G99" s="15" t="inlineStr">
        <is>
          <t>устремлено к</t>
        </is>
      </c>
      <c r="H99" s="15" t="inlineStr">
        <is>
          <t>n.overflow</t>
        </is>
      </c>
      <c r="I99" s="15" t="inlineStr">
        <is>
          <t>избыток / overflow</t>
        </is>
      </c>
      <c r="J99" s="15" t="inlineStr">
        <is>
          <t>abundance</t>
        </is>
      </c>
      <c r="K99" s="15" t="inlineStr">
        <is>
          <t>source_linked</t>
        </is>
      </c>
      <c r="L99" s="15" t="inlineStr">
        <is>
          <t>1,1,1,10</t>
        </is>
      </c>
      <c r="M99" s="15" t="inlineStr"/>
      <c r="N99" s="15" t="n">
        <v>10</v>
      </c>
      <c r="O99" s="15" t="n">
        <v>10</v>
      </c>
      <c r="P99" s="15" t="inlineStr">
        <is>
          <t>[10]</t>
        </is>
      </c>
      <c r="Q99" s="15" t="inlineStr">
        <is>
          <t>|p10|</t>
        </is>
      </c>
      <c r="R99" s="15" t="inlineStr">
        <is>
          <t>seg.1.1.1.10</t>
        </is>
      </c>
      <c r="S99" s="15" t="inlineStr">
        <is>
          <t>de+ru+en</t>
        </is>
      </c>
      <c r="T99" s="15" t="inlineStr">
        <is>
          <t>local_chain</t>
        </is>
      </c>
      <c r="U99" s="15" t="inlineStr"/>
    </row>
    <row r="100" ht="30" customHeight="1">
      <c r="A100" s="15" t="inlineStr">
        <is>
          <t>m089</t>
        </is>
      </c>
      <c r="B100" s="15" t="inlineStr">
        <is>
          <t>source_edge</t>
        </is>
      </c>
      <c r="C100" s="15" t="inlineStr">
        <is>
          <t>n.cup</t>
        </is>
      </c>
      <c r="D100" s="15" t="inlineStr">
        <is>
          <t>чаша</t>
        </is>
      </c>
      <c r="E100" s="15" t="inlineStr">
        <is>
          <t>vessel-symbol</t>
        </is>
      </c>
      <c r="F100" s="15" t="inlineStr">
        <is>
          <t>participates_in</t>
        </is>
      </c>
      <c r="G100" s="15" t="inlineStr">
        <is>
          <t>участвует в</t>
        </is>
      </c>
      <c r="H100" s="15" t="inlineStr">
        <is>
          <t>ev.p10.golden_water_flows</t>
        </is>
      </c>
      <c r="I100" s="15" t="inlineStr">
        <is>
          <t>золотистая влага течёт из чаши</t>
        </is>
      </c>
      <c r="J100" s="15" t="inlineStr">
        <is>
          <t>event</t>
        </is>
      </c>
      <c r="K100" s="15" t="inlineStr">
        <is>
          <t>source_linked</t>
        </is>
      </c>
      <c r="L100" s="15" t="inlineStr">
        <is>
          <t>1,1,1,10</t>
        </is>
      </c>
      <c r="M100" s="15" t="inlineStr"/>
      <c r="N100" s="15" t="n">
        <v>10</v>
      </c>
      <c r="O100" s="15" t="n">
        <v>10</v>
      </c>
      <c r="P100" s="15" t="inlineStr">
        <is>
          <t>[10]</t>
        </is>
      </c>
      <c r="Q100" s="15" t="inlineStr">
        <is>
          <t>|p10|</t>
        </is>
      </c>
      <c r="R100" s="15" t="inlineStr">
        <is>
          <t>seg.1.1.1.10</t>
        </is>
      </c>
      <c r="S100" s="15" t="inlineStr">
        <is>
          <t>de+ru+en</t>
        </is>
      </c>
      <c r="T100" s="15" t="inlineStr">
        <is>
          <t>local_chain</t>
        </is>
      </c>
      <c r="U100" s="15" t="inlineStr"/>
    </row>
    <row r="101" ht="30" customHeight="1">
      <c r="A101" s="15" t="inlineStr">
        <is>
          <t>m090</t>
        </is>
      </c>
      <c r="B101" s="15" t="inlineStr">
        <is>
          <t>source_edge</t>
        </is>
      </c>
      <c r="C101" s="15" t="inlineStr">
        <is>
          <t>ev.p10.golden_water_flows</t>
        </is>
      </c>
      <c r="D101" s="15" t="inlineStr">
        <is>
          <t>золотистая влага течёт из чаши</t>
        </is>
      </c>
      <c r="E101" s="15" t="inlineStr">
        <is>
          <t>event</t>
        </is>
      </c>
      <c r="F101" s="15" t="inlineStr">
        <is>
          <t>carries</t>
        </is>
      </c>
      <c r="G101" s="15" t="inlineStr">
        <is>
          <t>несёт</t>
        </is>
      </c>
      <c r="H101" s="15" t="inlineStr">
        <is>
          <t>n.water</t>
        </is>
      </c>
      <c r="I101" s="15" t="inlineStr">
        <is>
          <t>влага / вода</t>
        </is>
      </c>
      <c r="J101" s="15" t="inlineStr">
        <is>
          <t>substance</t>
        </is>
      </c>
      <c r="K101" s="15" t="inlineStr">
        <is>
          <t>source_linked</t>
        </is>
      </c>
      <c r="L101" s="15" t="inlineStr">
        <is>
          <t>1,1,1,10</t>
        </is>
      </c>
      <c r="M101" s="15" t="inlineStr"/>
      <c r="N101" s="15" t="n">
        <v>10</v>
      </c>
      <c r="O101" s="15" t="n">
        <v>10</v>
      </c>
      <c r="P101" s="15" t="inlineStr">
        <is>
          <t>[10]</t>
        </is>
      </c>
      <c r="Q101" s="15" t="inlineStr">
        <is>
          <t>|p10|</t>
        </is>
      </c>
      <c r="R101" s="15" t="inlineStr">
        <is>
          <t>seg.1.1.1.10</t>
        </is>
      </c>
      <c r="S101" s="15" t="inlineStr">
        <is>
          <t>de+ru+en</t>
        </is>
      </c>
      <c r="T101" s="15" t="inlineStr">
        <is>
          <t>local_chain</t>
        </is>
      </c>
      <c r="U101" s="15" t="inlineStr"/>
    </row>
    <row r="102" ht="30" customHeight="1">
      <c r="A102" s="15" t="inlineStr">
        <is>
          <t>m091</t>
        </is>
      </c>
      <c r="B102" s="15" t="inlineStr">
        <is>
          <t>source_edge</t>
        </is>
      </c>
      <c r="C102" s="15" t="inlineStr">
        <is>
          <t>ev.p10.golden_water_flows</t>
        </is>
      </c>
      <c r="D102" s="15" t="inlineStr">
        <is>
          <t>золотистая влага течёт из чаши</t>
        </is>
      </c>
      <c r="E102" s="15" t="inlineStr">
        <is>
          <t>event</t>
        </is>
      </c>
      <c r="F102" s="15" t="inlineStr">
        <is>
          <t>has_quality</t>
        </is>
      </c>
      <c r="G102" s="15" t="inlineStr">
        <is>
          <t>имеет качество</t>
        </is>
      </c>
      <c r="H102" s="15" t="inlineStr">
        <is>
          <t>n.gold</t>
        </is>
      </c>
      <c r="I102" s="15" t="inlineStr">
        <is>
          <t>золото / золотистость</t>
        </is>
      </c>
      <c r="J102" s="15" t="inlineStr">
        <is>
          <t>quality</t>
        </is>
      </c>
      <c r="K102" s="15" t="inlineStr">
        <is>
          <t>source_linked</t>
        </is>
      </c>
      <c r="L102" s="15" t="inlineStr">
        <is>
          <t>1,1,1,10</t>
        </is>
      </c>
      <c r="M102" s="15" t="inlineStr"/>
      <c r="N102" s="15" t="n">
        <v>10</v>
      </c>
      <c r="O102" s="15" t="n">
        <v>10</v>
      </c>
      <c r="P102" s="15" t="inlineStr">
        <is>
          <t>[10]</t>
        </is>
      </c>
      <c r="Q102" s="15" t="inlineStr">
        <is>
          <t>|p10|</t>
        </is>
      </c>
      <c r="R102" s="15" t="inlineStr">
        <is>
          <t>seg.1.1.1.10</t>
        </is>
      </c>
      <c r="S102" s="15" t="inlineStr">
        <is>
          <t>de+ru+en</t>
        </is>
      </c>
      <c r="T102" s="15" t="inlineStr">
        <is>
          <t>local_chain</t>
        </is>
      </c>
      <c r="U102" s="15" t="inlineStr"/>
    </row>
    <row r="103" ht="30" customHeight="1">
      <c r="A103" s="15" t="inlineStr">
        <is>
          <t>m092</t>
        </is>
      </c>
      <c r="B103" s="15" t="inlineStr">
        <is>
          <t>source_edge</t>
        </is>
      </c>
      <c r="C103" s="15" t="inlineStr">
        <is>
          <t>ev.p10.golden_water_flows</t>
        </is>
      </c>
      <c r="D103" s="15" t="inlineStr">
        <is>
          <t>золотистая влага течёт из чаши</t>
        </is>
      </c>
      <c r="E103" s="15" t="inlineStr">
        <is>
          <t>event</t>
        </is>
      </c>
      <c r="F103" s="15" t="inlineStr">
        <is>
          <t>originates_from</t>
        </is>
      </c>
      <c r="G103" s="15" t="inlineStr">
        <is>
          <t>истекает из</t>
        </is>
      </c>
      <c r="H103" s="15" t="inlineStr">
        <is>
          <t>n.cup</t>
        </is>
      </c>
      <c r="I103" s="15" t="inlineStr">
        <is>
          <t>чаша</t>
        </is>
      </c>
      <c r="J103" s="15" t="inlineStr">
        <is>
          <t>vessel-symbol</t>
        </is>
      </c>
      <c r="K103" s="15" t="inlineStr">
        <is>
          <t>source_linked</t>
        </is>
      </c>
      <c r="L103" s="15" t="inlineStr">
        <is>
          <t>1,1,1,10</t>
        </is>
      </c>
      <c r="M103" s="15" t="inlineStr"/>
      <c r="N103" s="15" t="n">
        <v>10</v>
      </c>
      <c r="O103" s="15" t="n">
        <v>10</v>
      </c>
      <c r="P103" s="15" t="inlineStr">
        <is>
          <t>[10]</t>
        </is>
      </c>
      <c r="Q103" s="15" t="inlineStr">
        <is>
          <t>|p10|</t>
        </is>
      </c>
      <c r="R103" s="15" t="inlineStr">
        <is>
          <t>seg.1.1.1.10</t>
        </is>
      </c>
      <c r="S103" s="15" t="inlineStr">
        <is>
          <t>de+ru+en</t>
        </is>
      </c>
      <c r="T103" s="15" t="inlineStr">
        <is>
          <t>local_chain</t>
        </is>
      </c>
      <c r="U103" s="15" t="inlineStr"/>
    </row>
    <row r="104" ht="30" customHeight="1">
      <c r="A104" s="16" t="inlineStr">
        <is>
          <t>m093</t>
        </is>
      </c>
      <c r="B104" s="16" t="inlineStr">
        <is>
          <t>bridge_edge</t>
        </is>
      </c>
      <c r="C104" s="16" t="inlineStr">
        <is>
          <t>ev.p10.golden_water_flows</t>
        </is>
      </c>
      <c r="D104" s="16" t="inlineStr">
        <is>
          <t>золотистая влага течёт из чаши</t>
        </is>
      </c>
      <c r="E104" s="16" t="inlineStr">
        <is>
          <t>event</t>
        </is>
      </c>
      <c r="F104" s="16" t="inlineStr">
        <is>
          <t>leads_to</t>
        </is>
      </c>
      <c r="G104" s="16" t="inlineStr">
        <is>
          <t>ведёт к</t>
        </is>
      </c>
      <c r="H104" s="16" t="inlineStr">
        <is>
          <t>ev.p10.reflection_of_bliss_is_carried</t>
        </is>
      </c>
      <c r="I104" s="16" t="inlineStr">
        <is>
          <t>отблеск отрады несётся повсюду</t>
        </is>
      </c>
      <c r="J104" s="16" t="inlineStr">
        <is>
          <t>event</t>
        </is>
      </c>
      <c r="K104" s="16" t="inlineStr">
        <is>
          <t>source_linked</t>
        </is>
      </c>
      <c r="L104" s="16" t="inlineStr">
        <is>
          <t>1,1,1,10</t>
        </is>
      </c>
      <c r="M104" s="16" t="inlineStr"/>
      <c r="N104" s="16" t="n">
        <v>10</v>
      </c>
      <c r="O104" s="16" t="n">
        <v>10</v>
      </c>
      <c r="P104" s="16" t="inlineStr">
        <is>
          <t>[10]</t>
        </is>
      </c>
      <c r="Q104" s="16" t="inlineStr">
        <is>
          <t>|p10|</t>
        </is>
      </c>
      <c r="R104" s="16" t="inlineStr">
        <is>
          <t>seg.1.1.1.10</t>
        </is>
      </c>
      <c r="S104" s="16" t="inlineStr">
        <is>
          <t>de+ru+en</t>
        </is>
      </c>
      <c r="T104" s="16" t="inlineStr">
        <is>
          <t>reasoning_bridge</t>
        </is>
      </c>
      <c r="U104" s="16" t="inlineStr"/>
    </row>
    <row r="105" ht="30" customHeight="1">
      <c r="A105" s="15" t="inlineStr">
        <is>
          <t>m094</t>
        </is>
      </c>
      <c r="B105" s="15" t="inlineStr">
        <is>
          <t>source_edge</t>
        </is>
      </c>
      <c r="C105" s="15" t="inlineStr">
        <is>
          <t>ev.p10.reflection_of_bliss_is_carried</t>
        </is>
      </c>
      <c r="D105" s="15" t="inlineStr">
        <is>
          <t>отблеск отрады несётся повсюду</t>
        </is>
      </c>
      <c r="E105" s="15" t="inlineStr">
        <is>
          <t>event</t>
        </is>
      </c>
      <c r="F105" s="15" t="inlineStr">
        <is>
          <t>carries</t>
        </is>
      </c>
      <c r="G105" s="15" t="inlineStr">
        <is>
          <t>несёт</t>
        </is>
      </c>
      <c r="H105" s="15" t="inlineStr">
        <is>
          <t>n.reflection</t>
        </is>
      </c>
      <c r="I105" s="15" t="inlineStr">
        <is>
          <t>отблеск / отражение</t>
        </is>
      </c>
      <c r="J105" s="15" t="inlineStr">
        <is>
          <t>reflective_quality</t>
        </is>
      </c>
      <c r="K105" s="15" t="inlineStr">
        <is>
          <t>source_linked</t>
        </is>
      </c>
      <c r="L105" s="15" t="inlineStr">
        <is>
          <t>1,1,1,10</t>
        </is>
      </c>
      <c r="M105" s="15" t="inlineStr"/>
      <c r="N105" s="15" t="n">
        <v>10</v>
      </c>
      <c r="O105" s="15" t="n">
        <v>10</v>
      </c>
      <c r="P105" s="15" t="inlineStr">
        <is>
          <t>[10]</t>
        </is>
      </c>
      <c r="Q105" s="15" t="inlineStr">
        <is>
          <t>|p10|</t>
        </is>
      </c>
      <c r="R105" s="15" t="inlineStr">
        <is>
          <t>seg.1.1.1.10</t>
        </is>
      </c>
      <c r="S105" s="15" t="inlineStr">
        <is>
          <t>de+ru+en</t>
        </is>
      </c>
      <c r="T105" s="15" t="inlineStr">
        <is>
          <t>local_chain</t>
        </is>
      </c>
      <c r="U105" s="15" t="inlineStr"/>
    </row>
    <row r="106" ht="30" customHeight="1">
      <c r="A106" s="15" t="inlineStr">
        <is>
          <t>m095</t>
        </is>
      </c>
      <c r="B106" s="15" t="inlineStr">
        <is>
          <t>source_edge</t>
        </is>
      </c>
      <c r="C106" s="15" t="inlineStr">
        <is>
          <t>n.reflection</t>
        </is>
      </c>
      <c r="D106" s="15" t="inlineStr">
        <is>
          <t>отблеск / отражение</t>
        </is>
      </c>
      <c r="E106" s="15" t="inlineStr">
        <is>
          <t>reflective_quality</t>
        </is>
      </c>
      <c r="F106" s="15" t="inlineStr">
        <is>
          <t>reflects</t>
        </is>
      </c>
      <c r="G106" s="15" t="inlineStr">
        <is>
          <t>отражает</t>
        </is>
      </c>
      <c r="H106" s="15" t="inlineStr">
        <is>
          <t>n.bliss</t>
        </is>
      </c>
      <c r="I106" s="15" t="inlineStr">
        <is>
          <t>отрада / блаженство</t>
        </is>
      </c>
      <c r="J106" s="15" t="inlineStr">
        <is>
          <t>solar_quality</t>
        </is>
      </c>
      <c r="K106" s="15" t="inlineStr">
        <is>
          <t>source_linked</t>
        </is>
      </c>
      <c r="L106" s="15" t="inlineStr">
        <is>
          <t>1,1,1,10</t>
        </is>
      </c>
      <c r="M106" s="15" t="inlineStr"/>
      <c r="N106" s="15" t="n">
        <v>10</v>
      </c>
      <c r="O106" s="15" t="n">
        <v>10</v>
      </c>
      <c r="P106" s="15" t="inlineStr">
        <is>
          <t>[10]</t>
        </is>
      </c>
      <c r="Q106" s="15" t="inlineStr">
        <is>
          <t>|p10|</t>
        </is>
      </c>
      <c r="R106" s="15" t="inlineStr">
        <is>
          <t>seg.1.1.1.10</t>
        </is>
      </c>
      <c r="S106" s="15" t="inlineStr">
        <is>
          <t>de+ru+en</t>
        </is>
      </c>
      <c r="T106" s="15" t="inlineStr">
        <is>
          <t>local_chain</t>
        </is>
      </c>
      <c r="U106" s="15" t="inlineStr"/>
    </row>
    <row r="107" ht="30" customHeight="1">
      <c r="A107" s="15" t="inlineStr">
        <is>
          <t>m096</t>
        </is>
      </c>
      <c r="B107" s="15" t="inlineStr">
        <is>
          <t>source_edge</t>
        </is>
      </c>
      <c r="C107" s="15" t="inlineStr">
        <is>
          <t>n.bliss</t>
        </is>
      </c>
      <c r="D107" s="15" t="inlineStr">
        <is>
          <t>отрада / блаженство</t>
        </is>
      </c>
      <c r="E107" s="15" t="inlineStr">
        <is>
          <t>solar_quality</t>
        </is>
      </c>
      <c r="F107" s="15" t="inlineStr">
        <is>
          <t>pertains_to</t>
        </is>
      </c>
      <c r="G107" s="15" t="inlineStr">
        <is>
          <t>относится к</t>
        </is>
      </c>
      <c r="H107" s="15" t="inlineStr">
        <is>
          <t>n.sun</t>
        </is>
      </c>
      <c r="I107" s="15" t="inlineStr">
        <is>
          <t>солнце / великое светило</t>
        </is>
      </c>
      <c r="J107" s="15" t="inlineStr">
        <is>
          <t>cosmic_entity</t>
        </is>
      </c>
      <c r="K107" s="15" t="inlineStr">
        <is>
          <t>source_linked</t>
        </is>
      </c>
      <c r="L107" s="15" t="inlineStr">
        <is>
          <t>1,1,1,10</t>
        </is>
      </c>
      <c r="M107" s="15" t="inlineStr"/>
      <c r="N107" s="15" t="n">
        <v>10</v>
      </c>
      <c r="O107" s="15" t="n">
        <v>10</v>
      </c>
      <c r="P107" s="15" t="inlineStr">
        <is>
          <t>[10]</t>
        </is>
      </c>
      <c r="Q107" s="15" t="inlineStr">
        <is>
          <t>|p10|</t>
        </is>
      </c>
      <c r="R107" s="15" t="inlineStr">
        <is>
          <t>seg.1.1.1.10</t>
        </is>
      </c>
      <c r="S107" s="15" t="inlineStr">
        <is>
          <t>de+ru+en</t>
        </is>
      </c>
      <c r="T107" s="15" t="inlineStr">
        <is>
          <t>local_chain</t>
        </is>
      </c>
      <c r="U107" s="15" t="inlineStr">
        <is>
          <t>твоя отрада относится к светилу</t>
        </is>
      </c>
    </row>
    <row r="108" ht="30" customHeight="1">
      <c r="A108" s="16" t="inlineStr">
        <is>
          <t>m097</t>
        </is>
      </c>
      <c r="B108" s="16" t="inlineStr">
        <is>
          <t>bridge_edge</t>
        </is>
      </c>
      <c r="C108" s="16" t="inlineStr">
        <is>
          <t>ev.p10.request_blessing_of_cup</t>
        </is>
      </c>
      <c r="D108" s="16" t="inlineStr">
        <is>
          <t>просьба благословить чашу</t>
        </is>
      </c>
      <c r="E108" s="16" t="inlineStr">
        <is>
          <t>event</t>
        </is>
      </c>
      <c r="F108" s="16" t="inlineStr">
        <is>
          <t>prepares</t>
        </is>
      </c>
      <c r="G108" s="16" t="inlineStr">
        <is>
          <t>подготавливает</t>
        </is>
      </c>
      <c r="H108" s="16" t="inlineStr">
        <is>
          <t>st.p11.cup_wants_to_empty_again</t>
        </is>
      </c>
      <c r="I108" s="16" t="inlineStr">
        <is>
          <t>чаша хочет снова стать пустой</t>
        </is>
      </c>
      <c r="J108" s="16" t="inlineStr">
        <is>
          <t>state</t>
        </is>
      </c>
      <c r="K108" s="16" t="inlineStr">
        <is>
          <t>source_linked</t>
        </is>
      </c>
      <c r="L108" s="16" t="inlineStr">
        <is>
          <t>1,1,1,10</t>
        </is>
      </c>
      <c r="M108" s="16" t="inlineStr">
        <is>
          <t>1,1,1,11</t>
        </is>
      </c>
      <c r="N108" s="16" t="n">
        <v>10</v>
      </c>
      <c r="O108" s="16" t="n">
        <v>11</v>
      </c>
      <c r="P108" s="16" t="inlineStr">
        <is>
          <t>[10]-[11]</t>
        </is>
      </c>
      <c r="Q108" s="16" t="inlineStr">
        <is>
          <t>|p10|p11|</t>
        </is>
      </c>
      <c r="R108" s="16" t="inlineStr">
        <is>
          <t>seg.1.1.1.10|seg.1.1.1.11</t>
        </is>
      </c>
      <c r="S108" s="16" t="inlineStr">
        <is>
          <t>de+ru+en</t>
        </is>
      </c>
      <c r="T108" s="16" t="inlineStr">
        <is>
          <t>reasoning_bridge</t>
        </is>
      </c>
      <c r="U108" s="16" t="inlineStr"/>
    </row>
    <row r="109" ht="30" customHeight="1">
      <c r="A109" s="15" t="inlineStr">
        <is>
          <t>m098</t>
        </is>
      </c>
      <c r="B109" s="15" t="inlineStr">
        <is>
          <t>source_edge</t>
        </is>
      </c>
      <c r="C109" s="15" t="inlineStr">
        <is>
          <t>n.cup</t>
        </is>
      </c>
      <c r="D109" s="15" t="inlineStr">
        <is>
          <t>чаша</t>
        </is>
      </c>
      <c r="E109" s="15" t="inlineStr">
        <is>
          <t>vessel-symbol</t>
        </is>
      </c>
      <c r="F109" s="15" t="inlineStr">
        <is>
          <t>participates_in</t>
        </is>
      </c>
      <c r="G109" s="15" t="inlineStr">
        <is>
          <t>участвует в</t>
        </is>
      </c>
      <c r="H109" s="15" t="inlineStr">
        <is>
          <t>st.p11.cup_wants_to_empty_again</t>
        </is>
      </c>
      <c r="I109" s="15" t="inlineStr">
        <is>
          <t>чаша хочет снова стать пустой</t>
        </is>
      </c>
      <c r="J109" s="15" t="inlineStr">
        <is>
          <t>state</t>
        </is>
      </c>
      <c r="K109" s="15" t="inlineStr">
        <is>
          <t>source_linked</t>
        </is>
      </c>
      <c r="L109" s="15" t="inlineStr">
        <is>
          <t>1,1,1,11</t>
        </is>
      </c>
      <c r="M109" s="15" t="inlineStr"/>
      <c r="N109" s="15" t="n">
        <v>11</v>
      </c>
      <c r="O109" s="15" t="n">
        <v>11</v>
      </c>
      <c r="P109" s="15" t="inlineStr">
        <is>
          <t>[11]</t>
        </is>
      </c>
      <c r="Q109" s="15" t="inlineStr">
        <is>
          <t>|p11|</t>
        </is>
      </c>
      <c r="R109" s="15" t="inlineStr">
        <is>
          <t>seg.1.1.1.11</t>
        </is>
      </c>
      <c r="S109" s="15" t="inlineStr">
        <is>
          <t>de+ru+en</t>
        </is>
      </c>
      <c r="T109" s="15" t="inlineStr">
        <is>
          <t>local_chain</t>
        </is>
      </c>
      <c r="U109" s="15" t="inlineStr"/>
    </row>
    <row r="110" ht="30" customHeight="1">
      <c r="A110" s="15" t="inlineStr">
        <is>
          <t>m099</t>
        </is>
      </c>
      <c r="B110" s="15" t="inlineStr">
        <is>
          <t>source_edge</t>
        </is>
      </c>
      <c r="C110" s="15" t="inlineStr">
        <is>
          <t>st.p11.cup_wants_to_empty_again</t>
        </is>
      </c>
      <c r="D110" s="15" t="inlineStr">
        <is>
          <t>чаша хочет снова стать пустой</t>
        </is>
      </c>
      <c r="E110" s="15" t="inlineStr">
        <is>
          <t>state</t>
        </is>
      </c>
      <c r="F110" s="15" t="inlineStr">
        <is>
          <t>aims_at</t>
        </is>
      </c>
      <c r="G110" s="15" t="inlineStr">
        <is>
          <t>устремлено к</t>
        </is>
      </c>
      <c r="H110" s="15" t="inlineStr">
        <is>
          <t>n.emptiness</t>
        </is>
      </c>
      <c r="I110" s="15" t="inlineStr">
        <is>
          <t>пустота / опустошение</t>
        </is>
      </c>
      <c r="J110" s="15" t="inlineStr">
        <is>
          <t>state</t>
        </is>
      </c>
      <c r="K110" s="15" t="inlineStr">
        <is>
          <t>source_linked</t>
        </is>
      </c>
      <c r="L110" s="15" t="inlineStr">
        <is>
          <t>1,1,1,11</t>
        </is>
      </c>
      <c r="M110" s="15" t="inlineStr"/>
      <c r="N110" s="15" t="n">
        <v>11</v>
      </c>
      <c r="O110" s="15" t="n">
        <v>11</v>
      </c>
      <c r="P110" s="15" t="inlineStr">
        <is>
          <t>[11]</t>
        </is>
      </c>
      <c r="Q110" s="15" t="inlineStr">
        <is>
          <t>|p11|</t>
        </is>
      </c>
      <c r="R110" s="15" t="inlineStr">
        <is>
          <t>seg.1.1.1.11</t>
        </is>
      </c>
      <c r="S110" s="15" t="inlineStr">
        <is>
          <t>de+ru+en</t>
        </is>
      </c>
      <c r="T110" s="15" t="inlineStr">
        <is>
          <t>local_chain</t>
        </is>
      </c>
      <c r="U110" s="15" t="inlineStr"/>
    </row>
    <row r="111" ht="30" customHeight="1">
      <c r="A111" s="15" t="inlineStr">
        <is>
          <t>m100</t>
        </is>
      </c>
      <c r="B111" s="15" t="inlineStr">
        <is>
          <t>source_edge</t>
        </is>
      </c>
      <c r="C111" s="15" t="inlineStr">
        <is>
          <t>n.zarathustra</t>
        </is>
      </c>
      <c r="D111" s="15" t="inlineStr">
        <is>
          <t>Заратустра</t>
        </is>
      </c>
      <c r="E111" s="15" t="inlineStr">
        <is>
          <t>persona</t>
        </is>
      </c>
      <c r="F111" s="15" t="inlineStr">
        <is>
          <t>enters_state</t>
        </is>
      </c>
      <c r="G111" s="15" t="inlineStr">
        <is>
          <t>входит в состояние</t>
        </is>
      </c>
      <c r="H111" s="15" t="inlineStr">
        <is>
          <t>st.p11.zarathustra_wants_to_become_human_again</t>
        </is>
      </c>
      <c r="I111" s="15" t="inlineStr">
        <is>
          <t>Заратустра хочет снова стать человеком</t>
        </is>
      </c>
      <c r="J111" s="15" t="inlineStr">
        <is>
          <t>state</t>
        </is>
      </c>
      <c r="K111" s="15" t="inlineStr">
        <is>
          <t>source_linked</t>
        </is>
      </c>
      <c r="L111" s="15" t="inlineStr">
        <is>
          <t>1,1,1,11</t>
        </is>
      </c>
      <c r="M111" s="15" t="inlineStr"/>
      <c r="N111" s="15" t="n">
        <v>11</v>
      </c>
      <c r="O111" s="15" t="n">
        <v>11</v>
      </c>
      <c r="P111" s="15" t="inlineStr">
        <is>
          <t>[11]</t>
        </is>
      </c>
      <c r="Q111" s="15" t="inlineStr">
        <is>
          <t>|p11|</t>
        </is>
      </c>
      <c r="R111" s="15" t="inlineStr">
        <is>
          <t>seg.1.1.1.11</t>
        </is>
      </c>
      <c r="S111" s="15" t="inlineStr">
        <is>
          <t>de+ru+en</t>
        </is>
      </c>
      <c r="T111" s="15" t="inlineStr">
        <is>
          <t>local_chain</t>
        </is>
      </c>
      <c r="U111" s="15" t="inlineStr"/>
    </row>
    <row r="112" ht="30" customHeight="1">
      <c r="A112" s="15" t="inlineStr">
        <is>
          <t>m101</t>
        </is>
      </c>
      <c r="B112" s="15" t="inlineStr">
        <is>
          <t>source_edge</t>
        </is>
      </c>
      <c r="C112" s="15" t="inlineStr">
        <is>
          <t>st.p11.zarathustra_wants_to_become_human_again</t>
        </is>
      </c>
      <c r="D112" s="15" t="inlineStr">
        <is>
          <t>Заратустра хочет снова стать человеком</t>
        </is>
      </c>
      <c r="E112" s="15" t="inlineStr">
        <is>
          <t>state</t>
        </is>
      </c>
      <c r="F112" s="15" t="inlineStr">
        <is>
          <t>aims_at</t>
        </is>
      </c>
      <c r="G112" s="15" t="inlineStr">
        <is>
          <t>устремлено к</t>
        </is>
      </c>
      <c r="H112" s="15" t="inlineStr">
        <is>
          <t>n.human</t>
        </is>
      </c>
      <c r="I112" s="15" t="inlineStr">
        <is>
          <t>человек</t>
        </is>
      </c>
      <c r="J112" s="15" t="inlineStr">
        <is>
          <t>anthropic_state</t>
        </is>
      </c>
      <c r="K112" s="15" t="inlineStr">
        <is>
          <t>source_linked</t>
        </is>
      </c>
      <c r="L112" s="15" t="inlineStr">
        <is>
          <t>1,1,1,11</t>
        </is>
      </c>
      <c r="M112" s="15" t="inlineStr"/>
      <c r="N112" s="15" t="n">
        <v>11</v>
      </c>
      <c r="O112" s="15" t="n">
        <v>11</v>
      </c>
      <c r="P112" s="15" t="inlineStr">
        <is>
          <t>[11]</t>
        </is>
      </c>
      <c r="Q112" s="15" t="inlineStr">
        <is>
          <t>|p11|</t>
        </is>
      </c>
      <c r="R112" s="15" t="inlineStr">
        <is>
          <t>seg.1.1.1.11</t>
        </is>
      </c>
      <c r="S112" s="15" t="inlineStr">
        <is>
          <t>de+ru+en</t>
        </is>
      </c>
      <c r="T112" s="15" t="inlineStr">
        <is>
          <t>local_chain</t>
        </is>
      </c>
      <c r="U112" s="15" t="inlineStr"/>
    </row>
    <row r="113" ht="30" customHeight="1">
      <c r="A113" s="15" t="inlineStr">
        <is>
          <t>m102</t>
        </is>
      </c>
      <c r="B113" s="15" t="inlineStr">
        <is>
          <t>source_edge</t>
        </is>
      </c>
      <c r="C113" s="15" t="inlineStr">
        <is>
          <t>st.p11.zarathustra_wants_to_become_human_again</t>
        </is>
      </c>
      <c r="D113" s="15" t="inlineStr">
        <is>
          <t>Заратустра хочет снова стать человеком</t>
        </is>
      </c>
      <c r="E113" s="15" t="inlineStr">
        <is>
          <t>state</t>
        </is>
      </c>
      <c r="F113" s="15" t="inlineStr">
        <is>
          <t>mirrors</t>
        </is>
      </c>
      <c r="G113" s="15" t="inlineStr">
        <is>
          <t>отзеркаливает</t>
        </is>
      </c>
      <c r="H113" s="15" t="inlineStr">
        <is>
          <t>st.p11.cup_wants_to_empty_again</t>
        </is>
      </c>
      <c r="I113" s="15" t="inlineStr">
        <is>
          <t>чаша хочет снова стать пустой</t>
        </is>
      </c>
      <c r="J113" s="15" t="inlineStr">
        <is>
          <t>state</t>
        </is>
      </c>
      <c r="K113" s="15" t="inlineStr">
        <is>
          <t>source_linked</t>
        </is>
      </c>
      <c r="L113" s="15" t="inlineStr">
        <is>
          <t>1,1,1,11</t>
        </is>
      </c>
      <c r="M113" s="15" t="inlineStr"/>
      <c r="N113" s="15" t="n">
        <v>11</v>
      </c>
      <c r="O113" s="15" t="n">
        <v>11</v>
      </c>
      <c r="P113" s="15" t="inlineStr">
        <is>
          <t>[11]</t>
        </is>
      </c>
      <c r="Q113" s="15" t="inlineStr">
        <is>
          <t>|p11|</t>
        </is>
      </c>
      <c r="R113" s="15" t="inlineStr">
        <is>
          <t>seg.1.1.1.11</t>
        </is>
      </c>
      <c r="S113" s="15" t="inlineStr">
        <is>
          <t>de+ru+en</t>
        </is>
      </c>
      <c r="T113" s="15" t="inlineStr">
        <is>
          <t>local_chain</t>
        </is>
      </c>
      <c r="U113" s="15" t="inlineStr">
        <is>
          <t>чаша и Заратустра движутся параллельно</t>
        </is>
      </c>
    </row>
    <row r="114" ht="30" customHeight="1">
      <c r="A114" s="16" t="inlineStr">
        <is>
          <t>m103</t>
        </is>
      </c>
      <c r="B114" s="16" t="inlineStr">
        <is>
          <t>bridge_edge</t>
        </is>
      </c>
      <c r="C114" s="16" t="inlineStr">
        <is>
          <t>st.p11.zarathustra_wants_to_become_human_again</t>
        </is>
      </c>
      <c r="D114" s="16" t="inlineStr">
        <is>
          <t>Заратустра хочет снова стать человеком</t>
        </is>
      </c>
      <c r="E114" s="16" t="inlineStr">
        <is>
          <t>state</t>
        </is>
      </c>
      <c r="F114" s="16" t="inlineStr">
        <is>
          <t>culminates_in</t>
        </is>
      </c>
      <c r="G114" s="16" t="inlineStr">
        <is>
          <t>кульминирует в</t>
        </is>
      </c>
      <c r="H114" s="16" t="inlineStr">
        <is>
          <t>ev.p12.beginning_of_zarathustra_going_under</t>
        </is>
      </c>
      <c r="I114" s="16" t="inlineStr">
        <is>
          <t>начало заката Заратустры</t>
        </is>
      </c>
      <c r="J114" s="16" t="inlineStr">
        <is>
          <t>event</t>
        </is>
      </c>
      <c r="K114" s="16" t="inlineStr">
        <is>
          <t>source_linked</t>
        </is>
      </c>
      <c r="L114" s="16" t="inlineStr">
        <is>
          <t>1,1,1,11</t>
        </is>
      </c>
      <c r="M114" s="16" t="inlineStr">
        <is>
          <t>1,1,1,12</t>
        </is>
      </c>
      <c r="N114" s="16" t="n">
        <v>11</v>
      </c>
      <c r="O114" s="16" t="n">
        <v>12</v>
      </c>
      <c r="P114" s="16" t="inlineStr">
        <is>
          <t>[11]-[12]</t>
        </is>
      </c>
      <c r="Q114" s="16" t="inlineStr">
        <is>
          <t>|p11|p12|</t>
        </is>
      </c>
      <c r="R114" s="16" t="inlineStr">
        <is>
          <t>seg.1.1.1.11|seg.1.1.1.12</t>
        </is>
      </c>
      <c r="S114" s="16" t="inlineStr">
        <is>
          <t>de+ru+en</t>
        </is>
      </c>
      <c r="T114" s="16" t="inlineStr">
        <is>
          <t>reasoning_bridge</t>
        </is>
      </c>
      <c r="U114" s="16" t="inlineStr"/>
    </row>
    <row r="115" ht="30" customHeight="1">
      <c r="A115" s="15" t="inlineStr">
        <is>
          <t>m104</t>
        </is>
      </c>
      <c r="B115" s="15" t="inlineStr">
        <is>
          <t>source_edge</t>
        </is>
      </c>
      <c r="C115" s="15" t="inlineStr">
        <is>
          <t>n.zarathustra</t>
        </is>
      </c>
      <c r="D115" s="15" t="inlineStr">
        <is>
          <t>Заратустра</t>
        </is>
      </c>
      <c r="E115" s="15" t="inlineStr">
        <is>
          <t>persona</t>
        </is>
      </c>
      <c r="F115" s="15" t="inlineStr">
        <is>
          <t>participates_in</t>
        </is>
      </c>
      <c r="G115" s="15" t="inlineStr">
        <is>
          <t>участвует в</t>
        </is>
      </c>
      <c r="H115" s="15" t="inlineStr">
        <is>
          <t>ev.p12.beginning_of_zarathustra_going_under</t>
        </is>
      </c>
      <c r="I115" s="15" t="inlineStr">
        <is>
          <t>начало заката Заратустры</t>
        </is>
      </c>
      <c r="J115" s="15" t="inlineStr">
        <is>
          <t>event</t>
        </is>
      </c>
      <c r="K115" s="15" t="inlineStr">
        <is>
          <t>source_linked</t>
        </is>
      </c>
      <c r="L115" s="15" t="inlineStr">
        <is>
          <t>1,1,1,12</t>
        </is>
      </c>
      <c r="M115" s="15" t="inlineStr"/>
      <c r="N115" s="15" t="n">
        <v>12</v>
      </c>
      <c r="O115" s="15" t="n">
        <v>12</v>
      </c>
      <c r="P115" s="15" t="inlineStr">
        <is>
          <t>[12]</t>
        </is>
      </c>
      <c r="Q115" s="15" t="inlineStr">
        <is>
          <t>|p12|</t>
        </is>
      </c>
      <c r="R115" s="15" t="inlineStr">
        <is>
          <t>seg.1.1.1.12</t>
        </is>
      </c>
      <c r="S115" s="15" t="inlineStr">
        <is>
          <t>de+ru+en</t>
        </is>
      </c>
      <c r="T115" s="15" t="inlineStr">
        <is>
          <t>local_chain</t>
        </is>
      </c>
      <c r="U115" s="15" t="inlineStr"/>
    </row>
    <row r="116" ht="30" customHeight="1">
      <c r="A116" s="15" t="inlineStr">
        <is>
          <t>m105</t>
        </is>
      </c>
      <c r="B116" s="15" t="inlineStr">
        <is>
          <t>source_edge</t>
        </is>
      </c>
      <c r="C116" s="15" t="inlineStr">
        <is>
          <t>ev.p12.beginning_of_zarathustra_going_under</t>
        </is>
      </c>
      <c r="D116" s="15" t="inlineStr">
        <is>
          <t>начало заката Заратустры</t>
        </is>
      </c>
      <c r="E116" s="15" t="inlineStr">
        <is>
          <t>event</t>
        </is>
      </c>
      <c r="F116" s="15" t="inlineStr">
        <is>
          <t>concerns</t>
        </is>
      </c>
      <c r="G116" s="15" t="inlineStr">
        <is>
          <t>касается</t>
        </is>
      </c>
      <c r="H116" s="15" t="inlineStr">
        <is>
          <t>n.go_under</t>
        </is>
      </c>
      <c r="I116" s="15" t="inlineStr">
        <is>
          <t>закатиться / untergehen / go under</t>
        </is>
      </c>
      <c r="J116" s="15" t="inlineStr">
        <is>
          <t>hinge-term</t>
        </is>
      </c>
      <c r="K116" s="15" t="inlineStr">
        <is>
          <t>source_linked</t>
        </is>
      </c>
      <c r="L116" s="15" t="inlineStr">
        <is>
          <t>1,1,1,12</t>
        </is>
      </c>
      <c r="M116" s="15" t="inlineStr"/>
      <c r="N116" s="15" t="n">
        <v>12</v>
      </c>
      <c r="O116" s="15" t="n">
        <v>12</v>
      </c>
      <c r="P116" s="15" t="inlineStr">
        <is>
          <t>[12]</t>
        </is>
      </c>
      <c r="Q116" s="15" t="inlineStr">
        <is>
          <t>|p12|</t>
        </is>
      </c>
      <c r="R116" s="15" t="inlineStr">
        <is>
          <t>seg.1.1.1.12</t>
        </is>
      </c>
      <c r="S116" s="15" t="inlineStr">
        <is>
          <t>de+ru+en</t>
        </is>
      </c>
      <c r="T116" s="15" t="inlineStr">
        <is>
          <t>local_chain</t>
        </is>
      </c>
      <c r="U116" s="15" t="inlineStr"/>
    </row>
    <row r="117" ht="30" customHeight="1">
      <c r="A117" s="16" t="inlineStr">
        <is>
          <t>m106</t>
        </is>
      </c>
      <c r="B117" s="16" t="inlineStr">
        <is>
          <t>bridge_edge</t>
        </is>
      </c>
      <c r="C117" s="16" t="inlineStr">
        <is>
          <t>ev.p8.go_under_to_humans</t>
        </is>
      </c>
      <c r="D117" s="16" t="inlineStr">
        <is>
          <t>закатиться к людям</t>
        </is>
      </c>
      <c r="E117" s="16" t="inlineStr">
        <is>
          <t>event</t>
        </is>
      </c>
      <c r="F117" s="16" t="inlineStr">
        <is>
          <t>culminates_in</t>
        </is>
      </c>
      <c r="G117" s="16" t="inlineStr">
        <is>
          <t>кульминирует в</t>
        </is>
      </c>
      <c r="H117" s="16" t="inlineStr">
        <is>
          <t>ev.p12.beginning_of_zarathustra_going_under</t>
        </is>
      </c>
      <c r="I117" s="16" t="inlineStr">
        <is>
          <t>начало заката Заратустры</t>
        </is>
      </c>
      <c r="J117" s="16" t="inlineStr">
        <is>
          <t>event</t>
        </is>
      </c>
      <c r="K117" s="16" t="inlineStr">
        <is>
          <t>source_linked</t>
        </is>
      </c>
      <c r="L117" s="16" t="inlineStr">
        <is>
          <t>1,1,1,8</t>
        </is>
      </c>
      <c r="M117" s="16" t="inlineStr">
        <is>
          <t>1,1,1,12</t>
        </is>
      </c>
      <c r="N117" s="16" t="n">
        <v>8</v>
      </c>
      <c r="O117" s="16" t="n">
        <v>12</v>
      </c>
      <c r="P117" s="16" t="inlineStr">
        <is>
          <t>[8]-[12]</t>
        </is>
      </c>
      <c r="Q117" s="16" t="inlineStr">
        <is>
          <t>|p8|p12|</t>
        </is>
      </c>
      <c r="R117" s="16" t="inlineStr">
        <is>
          <t>seg.1.1.1.8|seg.1.1.1.12</t>
        </is>
      </c>
      <c r="S117" s="16" t="inlineStr">
        <is>
          <t>de+ru+en</t>
        </is>
      </c>
      <c r="T117" s="16" t="inlineStr">
        <is>
          <t>reasoning_bridge</t>
        </is>
      </c>
      <c r="U117" s="16" t="inlineStr">
        <is>
          <t>намеченный спуск становится начавшимся путем</t>
        </is>
      </c>
    </row>
    <row r="118" ht="30" customHeight="1">
      <c r="A118" s="17" t="inlineStr">
        <is>
          <t>m107</t>
        </is>
      </c>
      <c r="B118" s="17" t="inlineStr">
        <is>
          <t>principle_edge</t>
        </is>
      </c>
      <c r="C118" s="17" t="inlineStr">
        <is>
          <t>pr.solitude_as_ripening</t>
        </is>
      </c>
      <c r="D118" s="17" t="inlineStr">
        <is>
          <t>уединение как созревание</t>
        </is>
      </c>
      <c r="E118" s="17" t="inlineStr">
        <is>
          <t>principle</t>
        </is>
      </c>
      <c r="F118" s="17" t="inlineStr">
        <is>
          <t>supported_by</t>
        </is>
      </c>
      <c r="G118" s="17" t="inlineStr">
        <is>
          <t>поддерживается</t>
        </is>
      </c>
      <c r="H118" s="17" t="inlineStr">
        <is>
          <t>st.p1.solitary_ripening_10y</t>
        </is>
      </c>
      <c r="I118" s="17" t="inlineStr">
        <is>
          <t>десятилетнее горное уединение</t>
        </is>
      </c>
      <c r="J118" s="17" t="inlineStr">
        <is>
          <t>state</t>
        </is>
      </c>
      <c r="K118" s="17" t="inlineStr">
        <is>
          <t>distilled_principle</t>
        </is>
      </c>
      <c r="L118" s="17" t="inlineStr">
        <is>
          <t>1,1,1,1</t>
        </is>
      </c>
      <c r="M118" s="17" t="inlineStr"/>
      <c r="N118" s="17" t="n">
        <v>1</v>
      </c>
      <c r="O118" s="17" t="n">
        <v>1</v>
      </c>
      <c r="P118" s="17" t="inlineStr">
        <is>
          <t>[1]</t>
        </is>
      </c>
      <c r="Q118" s="17" t="inlineStr">
        <is>
          <t>|p1|</t>
        </is>
      </c>
      <c r="R118" s="17" t="inlineStr">
        <is>
          <t>seg.1.1.1.1</t>
        </is>
      </c>
      <c r="S118" s="17" t="inlineStr">
        <is>
          <t>de+ru+en</t>
        </is>
      </c>
      <c r="T118" s="17" t="inlineStr">
        <is>
          <t>principle_support</t>
        </is>
      </c>
      <c r="U118" s="17" t="inlineStr">
        <is>
          <t>уединение не пустота, а созревание</t>
        </is>
      </c>
    </row>
    <row r="119" ht="30" customHeight="1">
      <c r="A119" s="18" t="inlineStr">
        <is>
          <t>m108</t>
        </is>
      </c>
      <c r="B119" s="18" t="inlineStr">
        <is>
          <t>principle_edge</t>
        </is>
      </c>
      <c r="C119" s="18" t="inlineStr">
        <is>
          <t>pr.departure_from_reflective_origin</t>
        </is>
      </c>
      <c r="D119" s="18" t="inlineStr">
        <is>
          <t>уход от отражённого истока</t>
        </is>
      </c>
      <c r="E119" s="18" t="inlineStr">
        <is>
          <t>principle</t>
        </is>
      </c>
      <c r="F119" s="18" t="inlineStr">
        <is>
          <t>supported_by</t>
        </is>
      </c>
      <c r="G119" s="18" t="inlineStr">
        <is>
          <t>поддерживается</t>
        </is>
      </c>
      <c r="H119" s="18" t="inlineStr">
        <is>
          <t>ev.p1.departure_from_origin</t>
        </is>
      </c>
      <c r="I119" s="18" t="inlineStr">
        <is>
          <t>уход из родины и озера</t>
        </is>
      </c>
      <c r="J119" s="18" t="inlineStr">
        <is>
          <t>event</t>
        </is>
      </c>
      <c r="K119" s="18" t="inlineStr">
        <is>
          <t>authored_commentary</t>
        </is>
      </c>
      <c r="L119" s="18" t="inlineStr">
        <is>
          <t>1,1,1,1</t>
        </is>
      </c>
      <c r="M119" s="18" t="inlineStr"/>
      <c r="N119" s="18" t="n">
        <v>1</v>
      </c>
      <c r="O119" s="18" t="n">
        <v>1</v>
      </c>
      <c r="P119" s="18" t="inlineStr">
        <is>
          <t>[1]</t>
        </is>
      </c>
      <c r="Q119" s="18" t="inlineStr">
        <is>
          <t>|p1|</t>
        </is>
      </c>
      <c r="R119" s="18" t="inlineStr">
        <is>
          <t>seg.1.1.1.1</t>
        </is>
      </c>
      <c r="S119" s="18" t="inlineStr">
        <is>
          <t>authored</t>
        </is>
      </c>
      <c r="T119" s="18" t="inlineStr">
        <is>
          <t>symbolic_support</t>
        </is>
      </c>
      <c r="U119" s="18" t="inlineStr">
        <is>
          <t>озеро читается как отражённый исток</t>
        </is>
      </c>
    </row>
    <row r="120" ht="30" customHeight="1">
      <c r="A120" s="17" t="inlineStr">
        <is>
          <t>m109</t>
        </is>
      </c>
      <c r="B120" s="17" t="inlineStr">
        <is>
          <t>principle_edge</t>
        </is>
      </c>
      <c r="C120" s="17" t="inlineStr">
        <is>
          <t>pr.happiness_is_relational</t>
        </is>
      </c>
      <c r="D120" s="17" t="inlineStr">
        <is>
          <t>счастье реляционно</t>
        </is>
      </c>
      <c r="E120" s="17" t="inlineStr">
        <is>
          <t>principle</t>
        </is>
      </c>
      <c r="F120" s="17" t="inlineStr">
        <is>
          <t>supported_by</t>
        </is>
      </c>
      <c r="G120" s="17" t="inlineStr">
        <is>
          <t>поддерживается</t>
        </is>
      </c>
      <c r="H120" s="17" t="inlineStr">
        <is>
          <t>st.p2.solar_happiness_requires_recipients</t>
        </is>
      </c>
      <c r="I120" s="17" t="inlineStr">
        <is>
          <t>счастье светила требует адресатов света</t>
        </is>
      </c>
      <c r="J120" s="17" t="inlineStr">
        <is>
          <t>state</t>
        </is>
      </c>
      <c r="K120" s="17" t="inlineStr">
        <is>
          <t>distilled_principle</t>
        </is>
      </c>
      <c r="L120" s="17" t="inlineStr">
        <is>
          <t>1,1,1,2</t>
        </is>
      </c>
      <c r="M120" s="17" t="inlineStr"/>
      <c r="N120" s="17" t="n">
        <v>2</v>
      </c>
      <c r="O120" s="17" t="n">
        <v>2</v>
      </c>
      <c r="P120" s="17" t="inlineStr">
        <is>
          <t>[2]</t>
        </is>
      </c>
      <c r="Q120" s="17" t="inlineStr">
        <is>
          <t>|p2|</t>
        </is>
      </c>
      <c r="R120" s="17" t="inlineStr">
        <is>
          <t>seg.1.1.1.2</t>
        </is>
      </c>
      <c r="S120" s="17" t="inlineStr">
        <is>
          <t>de+ru+en</t>
        </is>
      </c>
      <c r="T120" s="17" t="inlineStr">
        <is>
          <t>principle_support</t>
        </is>
      </c>
      <c r="U120" s="17" t="inlineStr"/>
    </row>
    <row r="121" ht="30" customHeight="1">
      <c r="A121" s="17" t="inlineStr">
        <is>
          <t>m110</t>
        </is>
      </c>
      <c r="B121" s="17" t="inlineStr">
        <is>
          <t>principle_edge</t>
        </is>
      </c>
      <c r="C121" s="17" t="inlineStr">
        <is>
          <t>pr.overflow_can_be_received</t>
        </is>
      </c>
      <c r="D121" s="17" t="inlineStr">
        <is>
          <t>избыток может быть принят</t>
        </is>
      </c>
      <c r="E121" s="17" t="inlineStr">
        <is>
          <t>principle</t>
        </is>
      </c>
      <c r="F121" s="17" t="inlineStr">
        <is>
          <t>supported_by</t>
        </is>
      </c>
      <c r="G121" s="17" t="inlineStr">
        <is>
          <t>поддерживается</t>
        </is>
      </c>
      <c r="H121" s="17" t="inlineStr">
        <is>
          <t>ev.p4.receive_overflow_from_sun</t>
        </is>
      </c>
      <c r="I121" s="17" t="inlineStr">
        <is>
          <t>принятие избытка солнца</t>
        </is>
      </c>
      <c r="J121" s="17" t="inlineStr">
        <is>
          <t>event</t>
        </is>
      </c>
      <c r="K121" s="17" t="inlineStr">
        <is>
          <t>distilled_principle</t>
        </is>
      </c>
      <c r="L121" s="17" t="inlineStr">
        <is>
          <t>1,1,1,4</t>
        </is>
      </c>
      <c r="M121" s="17" t="inlineStr"/>
      <c r="N121" s="17" t="n">
        <v>4</v>
      </c>
      <c r="O121" s="17" t="n">
        <v>4</v>
      </c>
      <c r="P121" s="17" t="inlineStr">
        <is>
          <t>[4]</t>
        </is>
      </c>
      <c r="Q121" s="17" t="inlineStr">
        <is>
          <t>|p4|</t>
        </is>
      </c>
      <c r="R121" s="17" t="inlineStr">
        <is>
          <t>seg.1.1.1.4</t>
        </is>
      </c>
      <c r="S121" s="17" t="inlineStr">
        <is>
          <t>de+ru+en</t>
        </is>
      </c>
      <c r="T121" s="17" t="inlineStr">
        <is>
          <t>principle_support</t>
        </is>
      </c>
      <c r="U121" s="17" t="inlineStr"/>
    </row>
    <row r="122" ht="30" customHeight="1">
      <c r="A122" s="17" t="inlineStr">
        <is>
          <t>m111</t>
        </is>
      </c>
      <c r="B122" s="17" t="inlineStr">
        <is>
          <t>principle_edge</t>
        </is>
      </c>
      <c r="C122" s="17" t="inlineStr">
        <is>
          <t>pr.blessing_is_reciprocal</t>
        </is>
      </c>
      <c r="D122" s="17" t="inlineStr">
        <is>
          <t>благословение взаимно</t>
        </is>
      </c>
      <c r="E122" s="17" t="inlineStr">
        <is>
          <t>principle</t>
        </is>
      </c>
      <c r="F122" s="17" t="inlineStr">
        <is>
          <t>supported_by</t>
        </is>
      </c>
      <c r="G122" s="17" t="inlineStr">
        <is>
          <t>поддерживается</t>
        </is>
      </c>
      <c r="H122" s="17" t="inlineStr">
        <is>
          <t>ev.p4.bless_sun_for_overflow</t>
        </is>
      </c>
      <c r="I122" s="17" t="inlineStr">
        <is>
          <t>благословение солнца за избыток</t>
        </is>
      </c>
      <c r="J122" s="17" t="inlineStr">
        <is>
          <t>event</t>
        </is>
      </c>
      <c r="K122" s="17" t="inlineStr">
        <is>
          <t>distilled_principle</t>
        </is>
      </c>
      <c r="L122" s="17" t="inlineStr">
        <is>
          <t>1,1,1,4</t>
        </is>
      </c>
      <c r="M122" s="17" t="inlineStr"/>
      <c r="N122" s="17" t="n">
        <v>4</v>
      </c>
      <c r="O122" s="17" t="n">
        <v>4</v>
      </c>
      <c r="P122" s="17" t="inlineStr">
        <is>
          <t>[4]</t>
        </is>
      </c>
      <c r="Q122" s="17" t="inlineStr">
        <is>
          <t>|p4|</t>
        </is>
      </c>
      <c r="R122" s="17" t="inlineStr">
        <is>
          <t>seg.1.1.1.4</t>
        </is>
      </c>
      <c r="S122" s="17" t="inlineStr">
        <is>
          <t>de+ru+en</t>
        </is>
      </c>
      <c r="T122" s="17" t="inlineStr">
        <is>
          <t>principle_support</t>
        </is>
      </c>
      <c r="U122" s="17" t="inlineStr"/>
    </row>
    <row r="123" ht="30" customHeight="1">
      <c r="A123" s="17" t="inlineStr">
        <is>
          <t>m112</t>
        </is>
      </c>
      <c r="B123" s="17" t="inlineStr">
        <is>
          <t>principle_edge</t>
        </is>
      </c>
      <c r="C123" s="17" t="inlineStr">
        <is>
          <t>pr.wisdom_can_overfill</t>
        </is>
      </c>
      <c r="D123" s="17" t="inlineStr">
        <is>
          <t>мудрость может стать избытком</t>
        </is>
      </c>
      <c r="E123" s="17" t="inlineStr">
        <is>
          <t>principle</t>
        </is>
      </c>
      <c r="F123" s="17" t="inlineStr">
        <is>
          <t>supported_by</t>
        </is>
      </c>
      <c r="G123" s="17" t="inlineStr">
        <is>
          <t>поддерживается</t>
        </is>
      </c>
      <c r="H123" s="17" t="inlineStr">
        <is>
          <t>st.p5.overfull_wisdom</t>
        </is>
      </c>
      <c r="I123" s="17" t="inlineStr">
        <is>
          <t>пресыщение мудростью</t>
        </is>
      </c>
      <c r="J123" s="17" t="inlineStr">
        <is>
          <t>state</t>
        </is>
      </c>
      <c r="K123" s="17" t="inlineStr">
        <is>
          <t>distilled_principle</t>
        </is>
      </c>
      <c r="L123" s="17" t="inlineStr">
        <is>
          <t>1,1,1,5</t>
        </is>
      </c>
      <c r="M123" s="17" t="inlineStr"/>
      <c r="N123" s="17" t="n">
        <v>5</v>
      </c>
      <c r="O123" s="17" t="n">
        <v>5</v>
      </c>
      <c r="P123" s="17" t="inlineStr">
        <is>
          <t>[5]</t>
        </is>
      </c>
      <c r="Q123" s="17" t="inlineStr">
        <is>
          <t>|p5|</t>
        </is>
      </c>
      <c r="R123" s="17" t="inlineStr">
        <is>
          <t>seg.1.1.1.5</t>
        </is>
      </c>
      <c r="S123" s="17" t="inlineStr">
        <is>
          <t>de+ru+en</t>
        </is>
      </c>
      <c r="T123" s="17" t="inlineStr">
        <is>
          <t>principle_support</t>
        </is>
      </c>
      <c r="U123" s="17" t="inlineStr"/>
    </row>
    <row r="124" ht="30" customHeight="1">
      <c r="A124" s="17" t="inlineStr">
        <is>
          <t>m113</t>
        </is>
      </c>
      <c r="B124" s="17" t="inlineStr">
        <is>
          <t>principle_edge</t>
        </is>
      </c>
      <c r="C124" s="17" t="inlineStr">
        <is>
          <t>pr.excess_seeks_recipients</t>
        </is>
      </c>
      <c r="D124" s="17" t="inlineStr">
        <is>
          <t>избыток ищет адресатов</t>
        </is>
      </c>
      <c r="E124" s="17" t="inlineStr">
        <is>
          <t>principle</t>
        </is>
      </c>
      <c r="F124" s="17" t="inlineStr">
        <is>
          <t>supported_by</t>
        </is>
      </c>
      <c r="G124" s="17" t="inlineStr">
        <is>
          <t>поддерживается</t>
        </is>
      </c>
      <c r="H124" s="17" t="inlineStr">
        <is>
          <t>ev.p5_6.need_hands_for_giving</t>
        </is>
      </c>
      <c r="I124" s="17" t="inlineStr">
        <is>
          <t>нужда в простёртых руках ради дара</t>
        </is>
      </c>
      <c r="J124" s="17" t="inlineStr">
        <is>
          <t>event</t>
        </is>
      </c>
      <c r="K124" s="17" t="inlineStr">
        <is>
          <t>distilled_principle</t>
        </is>
      </c>
      <c r="L124" s="17" t="inlineStr">
        <is>
          <t>1,1,1,5</t>
        </is>
      </c>
      <c r="M124" s="17" t="inlineStr">
        <is>
          <t>1,1,1,6</t>
        </is>
      </c>
      <c r="N124" s="17" t="n">
        <v>5</v>
      </c>
      <c r="O124" s="17" t="n">
        <v>6</v>
      </c>
      <c r="P124" s="17" t="inlineStr">
        <is>
          <t>[5]-[6]</t>
        </is>
      </c>
      <c r="Q124" s="17" t="inlineStr">
        <is>
          <t>|p5|p6|</t>
        </is>
      </c>
      <c r="R124" s="17" t="inlineStr">
        <is>
          <t>seg.1.1.1.5|seg.1.1.1.6</t>
        </is>
      </c>
      <c r="S124" s="17" t="inlineStr">
        <is>
          <t>de+ru+en</t>
        </is>
      </c>
      <c r="T124" s="17" t="inlineStr">
        <is>
          <t>principle_support</t>
        </is>
      </c>
      <c r="U124" s="17" t="inlineStr"/>
    </row>
    <row r="125" ht="30" customHeight="1">
      <c r="A125" s="17" t="inlineStr">
        <is>
          <t>m114</t>
        </is>
      </c>
      <c r="B125" s="17" t="inlineStr">
        <is>
          <t>principle_edge</t>
        </is>
      </c>
      <c r="C125" s="17" t="inlineStr">
        <is>
          <t>pr.gift_has_dual_mode</t>
        </is>
      </c>
      <c r="D125" s="17" t="inlineStr">
        <is>
          <t>дар идет в двух режимах</t>
        </is>
      </c>
      <c r="E125" s="17" t="inlineStr">
        <is>
          <t>principle</t>
        </is>
      </c>
      <c r="F125" s="17" t="inlineStr">
        <is>
          <t>supported_by</t>
        </is>
      </c>
      <c r="G125" s="17" t="inlineStr">
        <is>
          <t>поддерживается</t>
        </is>
      </c>
      <c r="H125" s="17" t="inlineStr">
        <is>
          <t>ev.p6.bestow_and_distribute</t>
        </is>
      </c>
      <c r="I125" s="17" t="inlineStr">
        <is>
          <t>одаривать и раздавать</t>
        </is>
      </c>
      <c r="J125" s="17" t="inlineStr">
        <is>
          <t>event</t>
        </is>
      </c>
      <c r="K125" s="17" t="inlineStr">
        <is>
          <t>distilled_principle</t>
        </is>
      </c>
      <c r="L125" s="17" t="inlineStr">
        <is>
          <t>1,1,1,6</t>
        </is>
      </c>
      <c r="M125" s="17" t="inlineStr"/>
      <c r="N125" s="17" t="n">
        <v>6</v>
      </c>
      <c r="O125" s="17" t="n">
        <v>6</v>
      </c>
      <c r="P125" s="17" t="inlineStr">
        <is>
          <t>[6]</t>
        </is>
      </c>
      <c r="Q125" s="17" t="inlineStr">
        <is>
          <t>|p6|</t>
        </is>
      </c>
      <c r="R125" s="17" t="inlineStr">
        <is>
          <t>seg.1.1.1.6</t>
        </is>
      </c>
      <c r="S125" s="17" t="inlineStr">
        <is>
          <t>de+ru+en</t>
        </is>
      </c>
      <c r="T125" s="17" t="inlineStr">
        <is>
          <t>principle_support</t>
        </is>
      </c>
      <c r="U125" s="17" t="inlineStr"/>
    </row>
    <row r="126" ht="30" customHeight="1">
      <c r="A126" s="17" t="inlineStr">
        <is>
          <t>m115</t>
        </is>
      </c>
      <c r="B126" s="17" t="inlineStr">
        <is>
          <t>principle_edge</t>
        </is>
      </c>
      <c r="C126" s="17" t="inlineStr">
        <is>
          <t>pr.descent_is_required_by_gift</t>
        </is>
      </c>
      <c r="D126" s="17" t="inlineStr">
        <is>
          <t>дар требует нисхождения</t>
        </is>
      </c>
      <c r="E126" s="17" t="inlineStr">
        <is>
          <t>principle</t>
        </is>
      </c>
      <c r="F126" s="17" t="inlineStr">
        <is>
          <t>supported_by</t>
        </is>
      </c>
      <c r="G126" s="17" t="inlineStr">
        <is>
          <t>поддерживается</t>
        </is>
      </c>
      <c r="H126" s="17" t="inlineStr">
        <is>
          <t>ev.p7.descend_into_depth</t>
        </is>
      </c>
      <c r="I126" s="17" t="inlineStr">
        <is>
          <t>спуск в глубину</t>
        </is>
      </c>
      <c r="J126" s="17" t="inlineStr">
        <is>
          <t>event</t>
        </is>
      </c>
      <c r="K126" s="17" t="inlineStr">
        <is>
          <t>distilled_principle</t>
        </is>
      </c>
      <c r="L126" s="17" t="inlineStr">
        <is>
          <t>1,1,1,6</t>
        </is>
      </c>
      <c r="M126" s="17" t="inlineStr">
        <is>
          <t>1,1,1,7</t>
        </is>
      </c>
      <c r="N126" s="17" t="n">
        <v>6</v>
      </c>
      <c r="O126" s="17" t="n">
        <v>7</v>
      </c>
      <c r="P126" s="17" t="inlineStr">
        <is>
          <t>[6]-[7]</t>
        </is>
      </c>
      <c r="Q126" s="17" t="inlineStr">
        <is>
          <t>|p6|p7|</t>
        </is>
      </c>
      <c r="R126" s="17" t="inlineStr">
        <is>
          <t>seg.1.1.1.6|seg.1.1.1.7</t>
        </is>
      </c>
      <c r="S126" s="17" t="inlineStr">
        <is>
          <t>de+ru+en</t>
        </is>
      </c>
      <c r="T126" s="17" t="inlineStr">
        <is>
          <t>principle_support</t>
        </is>
      </c>
      <c r="U126" s="17" t="inlineStr">
        <is>
          <t>дар и катабасис сцеплены</t>
        </is>
      </c>
    </row>
    <row r="127" ht="30" customHeight="1">
      <c r="A127" s="17" t="inlineStr">
        <is>
          <t>m116</t>
        </is>
      </c>
      <c r="B127" s="17" t="inlineStr">
        <is>
          <t>principle_edge</t>
        </is>
      </c>
      <c r="C127" s="17" t="inlineStr">
        <is>
          <t>pr.go_under_is_human_name</t>
        </is>
      </c>
      <c r="D127" s="17" t="inlineStr">
        <is>
          <t>закат есть человеческое имя нисхождения</t>
        </is>
      </c>
      <c r="E127" s="17" t="inlineStr">
        <is>
          <t>principle</t>
        </is>
      </c>
      <c r="F127" s="17" t="inlineStr">
        <is>
          <t>supported_by</t>
        </is>
      </c>
      <c r="G127" s="17" t="inlineStr">
        <is>
          <t>поддерживается</t>
        </is>
      </c>
      <c r="H127" s="17" t="inlineStr">
        <is>
          <t>ev.p7_8.descent_named_as_go_under</t>
        </is>
      </c>
      <c r="I127" s="17" t="inlineStr">
        <is>
          <t>нисхождение, названное закатом</t>
        </is>
      </c>
      <c r="J127" s="17" t="inlineStr">
        <is>
          <t>event</t>
        </is>
      </c>
      <c r="K127" s="17" t="inlineStr">
        <is>
          <t>distilled_principle</t>
        </is>
      </c>
      <c r="L127" s="17" t="inlineStr">
        <is>
          <t>1,1,1,7</t>
        </is>
      </c>
      <c r="M127" s="17" t="inlineStr">
        <is>
          <t>1,1,1,8</t>
        </is>
      </c>
      <c r="N127" s="17" t="n">
        <v>7</v>
      </c>
      <c r="O127" s="17" t="n">
        <v>8</v>
      </c>
      <c r="P127" s="17" t="inlineStr">
        <is>
          <t>[7]-[8]</t>
        </is>
      </c>
      <c r="Q127" s="17" t="inlineStr">
        <is>
          <t>|p7|p8|</t>
        </is>
      </c>
      <c r="R127" s="17" t="inlineStr">
        <is>
          <t>seg.1.1.1.7|seg.1.1.1.8</t>
        </is>
      </c>
      <c r="S127" s="17" t="inlineStr">
        <is>
          <t>de+ru+en</t>
        </is>
      </c>
      <c r="T127" s="17" t="inlineStr">
        <is>
          <t>principle_support</t>
        </is>
      </c>
      <c r="U127" s="17" t="inlineStr"/>
    </row>
    <row r="128" ht="30" customHeight="1">
      <c r="A128" s="17" t="inlineStr">
        <is>
          <t>m117</t>
        </is>
      </c>
      <c r="B128" s="17" t="inlineStr">
        <is>
          <t>principle_edge</t>
        </is>
      </c>
      <c r="C128" s="17" t="inlineStr">
        <is>
          <t>pr.tranquil_vision_without_envy</t>
        </is>
      </c>
      <c r="D128" s="17" t="inlineStr">
        <is>
          <t>спокойное зрение без зависти</t>
        </is>
      </c>
      <c r="E128" s="17" t="inlineStr">
        <is>
          <t>principle</t>
        </is>
      </c>
      <c r="F128" s="17" t="inlineStr">
        <is>
          <t>supported_by</t>
        </is>
      </c>
      <c r="G128" s="17" t="inlineStr">
        <is>
          <t>поддерживается</t>
        </is>
      </c>
      <c r="H128" s="17" t="inlineStr">
        <is>
          <t>st.p9.tranquil_eye_without_envy</t>
        </is>
      </c>
      <c r="I128" s="17" t="inlineStr">
        <is>
          <t>спокойное око без зависти</t>
        </is>
      </c>
      <c r="J128" s="17" t="inlineStr">
        <is>
          <t>state</t>
        </is>
      </c>
      <c r="K128" s="17" t="inlineStr">
        <is>
          <t>distilled_principle</t>
        </is>
      </c>
      <c r="L128" s="17" t="inlineStr">
        <is>
          <t>1,1,1,9</t>
        </is>
      </c>
      <c r="M128" s="17" t="inlineStr"/>
      <c r="N128" s="17" t="n">
        <v>9</v>
      </c>
      <c r="O128" s="17" t="n">
        <v>9</v>
      </c>
      <c r="P128" s="17" t="inlineStr">
        <is>
          <t>[9]</t>
        </is>
      </c>
      <c r="Q128" s="17" t="inlineStr">
        <is>
          <t>|p9|</t>
        </is>
      </c>
      <c r="R128" s="17" t="inlineStr">
        <is>
          <t>seg.1.1.1.9</t>
        </is>
      </c>
      <c r="S128" s="17" t="inlineStr">
        <is>
          <t>de+ru+en</t>
        </is>
      </c>
      <c r="T128" s="17" t="inlineStr">
        <is>
          <t>principle_support</t>
        </is>
      </c>
      <c r="U128" s="17" t="inlineStr"/>
    </row>
    <row r="129" ht="30" customHeight="1">
      <c r="A129" s="17" t="inlineStr">
        <is>
          <t>m118</t>
        </is>
      </c>
      <c r="B129" s="17" t="inlineStr">
        <is>
          <t>principle_edge</t>
        </is>
      </c>
      <c r="C129" s="17" t="inlineStr">
        <is>
          <t>pr.reflected_light_can_be_carried</t>
        </is>
      </c>
      <c r="D129" s="17" t="inlineStr">
        <is>
          <t>отражённый свет может быть носим</t>
        </is>
      </c>
      <c r="E129" s="17" t="inlineStr">
        <is>
          <t>principle</t>
        </is>
      </c>
      <c r="F129" s="17" t="inlineStr">
        <is>
          <t>supported_by</t>
        </is>
      </c>
      <c r="G129" s="17" t="inlineStr">
        <is>
          <t>поддерживается</t>
        </is>
      </c>
      <c r="H129" s="17" t="inlineStr">
        <is>
          <t>ev.p10.reflection_of_bliss_is_carried</t>
        </is>
      </c>
      <c r="I129" s="17" t="inlineStr">
        <is>
          <t>отблеск отрады несётся повсюду</t>
        </is>
      </c>
      <c r="J129" s="17" t="inlineStr">
        <is>
          <t>event</t>
        </is>
      </c>
      <c r="K129" s="17" t="inlineStr">
        <is>
          <t>distilled_principle</t>
        </is>
      </c>
      <c r="L129" s="17" t="inlineStr">
        <is>
          <t>1,1,1,10</t>
        </is>
      </c>
      <c r="M129" s="17" t="inlineStr"/>
      <c r="N129" s="17" t="n">
        <v>10</v>
      </c>
      <c r="O129" s="17" t="n">
        <v>10</v>
      </c>
      <c r="P129" s="17" t="inlineStr">
        <is>
          <t>[10]</t>
        </is>
      </c>
      <c r="Q129" s="17" t="inlineStr">
        <is>
          <t>|p10|</t>
        </is>
      </c>
      <c r="R129" s="17" t="inlineStr">
        <is>
          <t>seg.1.1.1.10</t>
        </is>
      </c>
      <c r="S129" s="17" t="inlineStr">
        <is>
          <t>de+ru+en</t>
        </is>
      </c>
      <c r="T129" s="17" t="inlineStr">
        <is>
          <t>principle_support</t>
        </is>
      </c>
      <c r="U129" s="17" t="inlineStr"/>
    </row>
    <row r="130" ht="30" customHeight="1">
      <c r="A130" s="17" t="inlineStr">
        <is>
          <t>m119</t>
        </is>
      </c>
      <c r="B130" s="17" t="inlineStr">
        <is>
          <t>principle_edge</t>
        </is>
      </c>
      <c r="C130" s="17" t="inlineStr">
        <is>
          <t>pr.return_as_action</t>
        </is>
      </c>
      <c r="D130" s="17" t="inlineStr">
        <is>
          <t>возвращение как действие</t>
        </is>
      </c>
      <c r="E130" s="17" t="inlineStr">
        <is>
          <t>principle</t>
        </is>
      </c>
      <c r="F130" s="17" t="inlineStr">
        <is>
          <t>supported_by</t>
        </is>
      </c>
      <c r="G130" s="17" t="inlineStr">
        <is>
          <t>поддерживается</t>
        </is>
      </c>
      <c r="H130" s="17" t="inlineStr">
        <is>
          <t>st.p11.zarathustra_wants_to_become_human_again</t>
        </is>
      </c>
      <c r="I130" s="17" t="inlineStr">
        <is>
          <t>Заратустра хочет снова стать человеком</t>
        </is>
      </c>
      <c r="J130" s="17" t="inlineStr">
        <is>
          <t>state</t>
        </is>
      </c>
      <c r="K130" s="17" t="inlineStr">
        <is>
          <t>distilled_principle</t>
        </is>
      </c>
      <c r="L130" s="17" t="inlineStr">
        <is>
          <t>1,1,1,11</t>
        </is>
      </c>
      <c r="M130" s="17" t="inlineStr"/>
      <c r="N130" s="17" t="n">
        <v>11</v>
      </c>
      <c r="O130" s="17" t="n">
        <v>11</v>
      </c>
      <c r="P130" s="17" t="inlineStr">
        <is>
          <t>[11]</t>
        </is>
      </c>
      <c r="Q130" s="17" t="inlineStr">
        <is>
          <t>|p11|</t>
        </is>
      </c>
      <c r="R130" s="17" t="inlineStr">
        <is>
          <t>seg.1.1.1.11</t>
        </is>
      </c>
      <c r="S130" s="17" t="inlineStr">
        <is>
          <t>de+ru+en</t>
        </is>
      </c>
      <c r="T130" s="17" t="inlineStr">
        <is>
          <t>principle_support</t>
        </is>
      </c>
      <c r="U130" s="17" t="inlineStr">
        <is>
          <t>возвращение удерживается как акт</t>
        </is>
      </c>
    </row>
    <row r="131" ht="30" customHeight="1">
      <c r="A131" s="17" t="inlineStr">
        <is>
          <t>m120</t>
        </is>
      </c>
      <c r="B131" s="17" t="inlineStr">
        <is>
          <t>principle_edge</t>
        </is>
      </c>
      <c r="C131" s="17" t="inlineStr">
        <is>
          <t>pr.beginning_through_going_under</t>
        </is>
      </c>
      <c r="D131" s="17" t="inlineStr">
        <is>
          <t>начало через закат</t>
        </is>
      </c>
      <c r="E131" s="17" t="inlineStr">
        <is>
          <t>principle</t>
        </is>
      </c>
      <c r="F131" s="17" t="inlineStr">
        <is>
          <t>supported_by</t>
        </is>
      </c>
      <c r="G131" s="17" t="inlineStr">
        <is>
          <t>поддерживается</t>
        </is>
      </c>
      <c r="H131" s="17" t="inlineStr">
        <is>
          <t>ev.p12.beginning_of_zarathustra_going_under</t>
        </is>
      </c>
      <c r="I131" s="17" t="inlineStr">
        <is>
          <t>начало заката Заратустры</t>
        </is>
      </c>
      <c r="J131" s="17" t="inlineStr">
        <is>
          <t>event</t>
        </is>
      </c>
      <c r="K131" s="17" t="inlineStr">
        <is>
          <t>distilled_principle</t>
        </is>
      </c>
      <c r="L131" s="17" t="inlineStr">
        <is>
          <t>1,1,1,12</t>
        </is>
      </c>
      <c r="M131" s="17" t="inlineStr"/>
      <c r="N131" s="17" t="n">
        <v>12</v>
      </c>
      <c r="O131" s="17" t="n">
        <v>12</v>
      </c>
      <c r="P131" s="17" t="inlineStr">
        <is>
          <t>[12]</t>
        </is>
      </c>
      <c r="Q131" s="17" t="inlineStr">
        <is>
          <t>|p12|</t>
        </is>
      </c>
      <c r="R131" s="17" t="inlineStr">
        <is>
          <t>seg.1.1.1.12</t>
        </is>
      </c>
      <c r="S131" s="17" t="inlineStr">
        <is>
          <t>de+ru+en</t>
        </is>
      </c>
      <c r="T131" s="17" t="inlineStr">
        <is>
          <t>principle_support</t>
        </is>
      </c>
      <c r="U131" s="17" t="inlineStr"/>
    </row>
    <row r="132" ht="30" customHeight="1">
      <c r="A132" s="17" t="inlineStr">
        <is>
          <t>m121</t>
        </is>
      </c>
      <c r="B132" s="17" t="inlineStr">
        <is>
          <t>principle_edge</t>
        </is>
      </c>
      <c r="C132" s="17" t="inlineStr">
        <is>
          <t>pr.solitude_as_ripening</t>
        </is>
      </c>
      <c r="D132" s="17" t="inlineStr">
        <is>
          <t>уединение как созревание</t>
        </is>
      </c>
      <c r="E132" s="17" t="inlineStr">
        <is>
          <t>principle</t>
        </is>
      </c>
      <c r="F132" s="17" t="inlineStr">
        <is>
          <t>leads_to</t>
        </is>
      </c>
      <c r="G132" s="17" t="inlineStr">
        <is>
          <t>ведёт к</t>
        </is>
      </c>
      <c r="H132" s="17" t="inlineStr">
        <is>
          <t>pr.wisdom_can_overfill</t>
        </is>
      </c>
      <c r="I132" s="17" t="inlineStr">
        <is>
          <t>мудрость может стать избытком</t>
        </is>
      </c>
      <c r="J132" s="17" t="inlineStr">
        <is>
          <t>principle</t>
        </is>
      </c>
      <c r="K132" s="17" t="inlineStr">
        <is>
          <t>distilled_principle</t>
        </is>
      </c>
      <c r="L132" s="17" t="inlineStr">
        <is>
          <t>1,1,1,1</t>
        </is>
      </c>
      <c r="M132" s="17" t="inlineStr">
        <is>
          <t>1,1,1,5</t>
        </is>
      </c>
      <c r="N132" s="17" t="n">
        <v>1</v>
      </c>
      <c r="O132" s="17" t="n">
        <v>5</v>
      </c>
      <c r="P132" s="17" t="inlineStr">
        <is>
          <t>[1]-[5]</t>
        </is>
      </c>
      <c r="Q132" s="17" t="inlineStr">
        <is>
          <t>|p1|p5|</t>
        </is>
      </c>
      <c r="R132" s="17" t="inlineStr">
        <is>
          <t>seg.1.1.1.1|seg.1.1.1.5</t>
        </is>
      </c>
      <c r="S132" s="17" t="inlineStr">
        <is>
          <t>de+ru+en</t>
        </is>
      </c>
      <c r="T132" s="17" t="inlineStr">
        <is>
          <t>reasoning_bridge</t>
        </is>
      </c>
      <c r="U132" s="17" t="inlineStr">
        <is>
          <t>созревание выводит к избытку</t>
        </is>
      </c>
    </row>
    <row r="133" ht="30" customHeight="1">
      <c r="A133" s="17" t="inlineStr">
        <is>
          <t>m122</t>
        </is>
      </c>
      <c r="B133" s="17" t="inlineStr">
        <is>
          <t>principle_edge</t>
        </is>
      </c>
      <c r="C133" s="17" t="inlineStr">
        <is>
          <t>pr.overflow_can_be_received</t>
        </is>
      </c>
      <c r="D133" s="17" t="inlineStr">
        <is>
          <t>избыток может быть принят</t>
        </is>
      </c>
      <c r="E133" s="17" t="inlineStr">
        <is>
          <t>principle</t>
        </is>
      </c>
      <c r="F133" s="17" t="inlineStr">
        <is>
          <t>prefigures</t>
        </is>
      </c>
      <c r="G133" s="17" t="inlineStr">
        <is>
          <t>предвосхищает</t>
        </is>
      </c>
      <c r="H133" s="17" t="inlineStr">
        <is>
          <t>pr.excess_seeks_recipients</t>
        </is>
      </c>
      <c r="I133" s="17" t="inlineStr">
        <is>
          <t>избыток ищет адресатов</t>
        </is>
      </c>
      <c r="J133" s="17" t="inlineStr">
        <is>
          <t>principle</t>
        </is>
      </c>
      <c r="K133" s="17" t="inlineStr">
        <is>
          <t>distilled_principle</t>
        </is>
      </c>
      <c r="L133" s="17" t="inlineStr">
        <is>
          <t>1,1,1,4</t>
        </is>
      </c>
      <c r="M133" s="17" t="inlineStr">
        <is>
          <t>1,1,1,6</t>
        </is>
      </c>
      <c r="N133" s="17" t="n">
        <v>4</v>
      </c>
      <c r="O133" s="17" t="n">
        <v>6</v>
      </c>
      <c r="P133" s="17" t="inlineStr">
        <is>
          <t>[4]-[6]</t>
        </is>
      </c>
      <c r="Q133" s="17" t="inlineStr">
        <is>
          <t>|p4|p5|p6|</t>
        </is>
      </c>
      <c r="R133" s="17" t="inlineStr">
        <is>
          <t>seg.1.1.1.4|seg.1.1.1.5|seg.1.1.1.6</t>
        </is>
      </c>
      <c r="S133" s="17" t="inlineStr">
        <is>
          <t>de+ru+en</t>
        </is>
      </c>
      <c r="T133" s="17" t="inlineStr">
        <is>
          <t>reasoning_bridge</t>
        </is>
      </c>
      <c r="U133" s="17" t="inlineStr"/>
    </row>
    <row r="134" ht="30" customHeight="1">
      <c r="A134" s="17" t="inlineStr">
        <is>
          <t>m123</t>
        </is>
      </c>
      <c r="B134" s="17" t="inlineStr">
        <is>
          <t>principle_edge</t>
        </is>
      </c>
      <c r="C134" s="17" t="inlineStr">
        <is>
          <t>pr.wisdom_can_overfill</t>
        </is>
      </c>
      <c r="D134" s="17" t="inlineStr">
        <is>
          <t>мудрость может стать избытком</t>
        </is>
      </c>
      <c r="E134" s="17" t="inlineStr">
        <is>
          <t>principle</t>
        </is>
      </c>
      <c r="F134" s="17" t="inlineStr">
        <is>
          <t>leads_to</t>
        </is>
      </c>
      <c r="G134" s="17" t="inlineStr">
        <is>
          <t>ведёт к</t>
        </is>
      </c>
      <c r="H134" s="17" t="inlineStr">
        <is>
          <t>pr.excess_seeks_recipients</t>
        </is>
      </c>
      <c r="I134" s="17" t="inlineStr">
        <is>
          <t>избыток ищет адресатов</t>
        </is>
      </c>
      <c r="J134" s="17" t="inlineStr">
        <is>
          <t>principle</t>
        </is>
      </c>
      <c r="K134" s="17" t="inlineStr">
        <is>
          <t>distilled_principle</t>
        </is>
      </c>
      <c r="L134" s="17" t="inlineStr">
        <is>
          <t>1,1,1,5</t>
        </is>
      </c>
      <c r="M134" s="17" t="inlineStr">
        <is>
          <t>1,1,1,6</t>
        </is>
      </c>
      <c r="N134" s="17" t="n">
        <v>5</v>
      </c>
      <c r="O134" s="17" t="n">
        <v>6</v>
      </c>
      <c r="P134" s="17" t="inlineStr">
        <is>
          <t>[5]-[6]</t>
        </is>
      </c>
      <c r="Q134" s="17" t="inlineStr">
        <is>
          <t>|p5|p6|</t>
        </is>
      </c>
      <c r="R134" s="17" t="inlineStr">
        <is>
          <t>seg.1.1.1.5|seg.1.1.1.6</t>
        </is>
      </c>
      <c r="S134" s="17" t="inlineStr">
        <is>
          <t>de+ru+en</t>
        </is>
      </c>
      <c r="T134" s="17" t="inlineStr">
        <is>
          <t>reasoning_bridge</t>
        </is>
      </c>
      <c r="U134" s="17" t="inlineStr"/>
    </row>
    <row r="135" ht="30" customHeight="1">
      <c r="A135" s="17" t="inlineStr">
        <is>
          <t>m124</t>
        </is>
      </c>
      <c r="B135" s="17" t="inlineStr">
        <is>
          <t>principle_edge</t>
        </is>
      </c>
      <c r="C135" s="17" t="inlineStr">
        <is>
          <t>pr.excess_seeks_recipients</t>
        </is>
      </c>
      <c r="D135" s="17" t="inlineStr">
        <is>
          <t>избыток ищет адресатов</t>
        </is>
      </c>
      <c r="E135" s="17" t="inlineStr">
        <is>
          <t>principle</t>
        </is>
      </c>
      <c r="F135" s="17" t="inlineStr">
        <is>
          <t>leads_to</t>
        </is>
      </c>
      <c r="G135" s="17" t="inlineStr">
        <is>
          <t>ведёт к</t>
        </is>
      </c>
      <c r="H135" s="17" t="inlineStr">
        <is>
          <t>pr.descent_is_required_by_gift</t>
        </is>
      </c>
      <c r="I135" s="17" t="inlineStr">
        <is>
          <t>дар требует нисхождения</t>
        </is>
      </c>
      <c r="J135" s="17" t="inlineStr">
        <is>
          <t>principle</t>
        </is>
      </c>
      <c r="K135" s="17" t="inlineStr">
        <is>
          <t>distilled_principle</t>
        </is>
      </c>
      <c r="L135" s="17" t="inlineStr">
        <is>
          <t>1,1,1,5</t>
        </is>
      </c>
      <c r="M135" s="17" t="inlineStr">
        <is>
          <t>1,1,1,7</t>
        </is>
      </c>
      <c r="N135" s="17" t="n">
        <v>5</v>
      </c>
      <c r="O135" s="17" t="n">
        <v>7</v>
      </c>
      <c r="P135" s="17" t="inlineStr">
        <is>
          <t>[5]-[7]</t>
        </is>
      </c>
      <c r="Q135" s="17" t="inlineStr">
        <is>
          <t>|p5|p6|p7|</t>
        </is>
      </c>
      <c r="R135" s="17" t="inlineStr">
        <is>
          <t>seg.1.1.1.5|seg.1.1.1.6|seg.1.1.1.7</t>
        </is>
      </c>
      <c r="S135" s="17" t="inlineStr">
        <is>
          <t>de+ru+en</t>
        </is>
      </c>
      <c r="T135" s="17" t="inlineStr">
        <is>
          <t>reasoning_bridge</t>
        </is>
      </c>
      <c r="U135" s="17" t="inlineStr"/>
    </row>
    <row r="136" ht="30" customHeight="1">
      <c r="A136" s="17" t="inlineStr">
        <is>
          <t>m125</t>
        </is>
      </c>
      <c r="B136" s="17" t="inlineStr">
        <is>
          <t>principle_edge</t>
        </is>
      </c>
      <c r="C136" s="17" t="inlineStr">
        <is>
          <t>pr.descent_is_required_by_gift</t>
        </is>
      </c>
      <c r="D136" s="17" t="inlineStr">
        <is>
          <t>дар требует нисхождения</t>
        </is>
      </c>
      <c r="E136" s="17" t="inlineStr">
        <is>
          <t>principle</t>
        </is>
      </c>
      <c r="F136" s="17" t="inlineStr">
        <is>
          <t>formalizes</t>
        </is>
      </c>
      <c r="G136" s="17" t="inlineStr">
        <is>
          <t>оформляет</t>
        </is>
      </c>
      <c r="H136" s="17" t="inlineStr">
        <is>
          <t>pr.go_under_is_human_name</t>
        </is>
      </c>
      <c r="I136" s="17" t="inlineStr">
        <is>
          <t>закат есть человеческое имя нисхождения</t>
        </is>
      </c>
      <c r="J136" s="17" t="inlineStr">
        <is>
          <t>principle</t>
        </is>
      </c>
      <c r="K136" s="17" t="inlineStr">
        <is>
          <t>distilled_principle</t>
        </is>
      </c>
      <c r="L136" s="17" t="inlineStr">
        <is>
          <t>1,1,1,7</t>
        </is>
      </c>
      <c r="M136" s="17" t="inlineStr">
        <is>
          <t>1,1,1,8</t>
        </is>
      </c>
      <c r="N136" s="17" t="n">
        <v>7</v>
      </c>
      <c r="O136" s="17" t="n">
        <v>8</v>
      </c>
      <c r="P136" s="17" t="inlineStr">
        <is>
          <t>[7]-[8]</t>
        </is>
      </c>
      <c r="Q136" s="17" t="inlineStr">
        <is>
          <t>|p7|p8|</t>
        </is>
      </c>
      <c r="R136" s="17" t="inlineStr">
        <is>
          <t>seg.1.1.1.7|seg.1.1.1.8</t>
        </is>
      </c>
      <c r="S136" s="17" t="inlineStr">
        <is>
          <t>de+ru+en</t>
        </is>
      </c>
      <c r="T136" s="17" t="inlineStr">
        <is>
          <t>reasoning_bridge</t>
        </is>
      </c>
      <c r="U136" s="17" t="inlineStr"/>
    </row>
    <row r="137" ht="30" customHeight="1">
      <c r="A137" s="17" t="inlineStr">
        <is>
          <t>m126</t>
        </is>
      </c>
      <c r="B137" s="17" t="inlineStr">
        <is>
          <t>principle_edge</t>
        </is>
      </c>
      <c r="C137" s="17" t="inlineStr">
        <is>
          <t>pr.tranquil_vision_without_envy</t>
        </is>
      </c>
      <c r="D137" s="17" t="inlineStr">
        <is>
          <t>спокойное зрение без зависти</t>
        </is>
      </c>
      <c r="E137" s="17" t="inlineStr">
        <is>
          <t>principle</t>
        </is>
      </c>
      <c r="F137" s="17" t="inlineStr">
        <is>
          <t>prepares</t>
        </is>
      </c>
      <c r="G137" s="17" t="inlineStr">
        <is>
          <t>подготавливает</t>
        </is>
      </c>
      <c r="H137" s="17" t="inlineStr">
        <is>
          <t>pr.reflected_light_can_be_carried</t>
        </is>
      </c>
      <c r="I137" s="17" t="inlineStr">
        <is>
          <t>отражённый свет может быть носим</t>
        </is>
      </c>
      <c r="J137" s="17" t="inlineStr">
        <is>
          <t>principle</t>
        </is>
      </c>
      <c r="K137" s="17" t="inlineStr">
        <is>
          <t>distilled_principle</t>
        </is>
      </c>
      <c r="L137" s="17" t="inlineStr">
        <is>
          <t>1,1,1,9</t>
        </is>
      </c>
      <c r="M137" s="17" t="inlineStr">
        <is>
          <t>1,1,1,10</t>
        </is>
      </c>
      <c r="N137" s="17" t="n">
        <v>9</v>
      </c>
      <c r="O137" s="17" t="n">
        <v>10</v>
      </c>
      <c r="P137" s="17" t="inlineStr">
        <is>
          <t>[9]-[10]</t>
        </is>
      </c>
      <c r="Q137" s="17" t="inlineStr">
        <is>
          <t>|p9|p10|</t>
        </is>
      </c>
      <c r="R137" s="17" t="inlineStr">
        <is>
          <t>seg.1.1.1.9|seg.1.1.1.10</t>
        </is>
      </c>
      <c r="S137" s="17" t="inlineStr">
        <is>
          <t>de+ru+en</t>
        </is>
      </c>
      <c r="T137" s="17" t="inlineStr">
        <is>
          <t>reasoning_bridge</t>
        </is>
      </c>
      <c r="U137" s="17" t="inlineStr"/>
    </row>
    <row r="138" ht="30" customHeight="1">
      <c r="A138" s="17" t="inlineStr">
        <is>
          <t>m127</t>
        </is>
      </c>
      <c r="B138" s="17" t="inlineStr">
        <is>
          <t>principle_edge</t>
        </is>
      </c>
      <c r="C138" s="17" t="inlineStr">
        <is>
          <t>pr.reflected_light_can_be_carried</t>
        </is>
      </c>
      <c r="D138" s="17" t="inlineStr">
        <is>
          <t>отражённый свет может быть носим</t>
        </is>
      </c>
      <c r="E138" s="17" t="inlineStr">
        <is>
          <t>principle</t>
        </is>
      </c>
      <c r="F138" s="17" t="inlineStr">
        <is>
          <t>prepares</t>
        </is>
      </c>
      <c r="G138" s="17" t="inlineStr">
        <is>
          <t>подготавливает</t>
        </is>
      </c>
      <c r="H138" s="17" t="inlineStr">
        <is>
          <t>pr.return_as_action</t>
        </is>
      </c>
      <c r="I138" s="17" t="inlineStr">
        <is>
          <t>возвращение как действие</t>
        </is>
      </c>
      <c r="J138" s="17" t="inlineStr">
        <is>
          <t>principle</t>
        </is>
      </c>
      <c r="K138" s="17" t="inlineStr">
        <is>
          <t>distilled_principle</t>
        </is>
      </c>
      <c r="L138" s="17" t="inlineStr">
        <is>
          <t>1,1,1,10</t>
        </is>
      </c>
      <c r="M138" s="17" t="inlineStr">
        <is>
          <t>1,1,1,11</t>
        </is>
      </c>
      <c r="N138" s="17" t="n">
        <v>10</v>
      </c>
      <c r="O138" s="17" t="n">
        <v>11</v>
      </c>
      <c r="P138" s="17" t="inlineStr">
        <is>
          <t>[10]-[11]</t>
        </is>
      </c>
      <c r="Q138" s="17" t="inlineStr">
        <is>
          <t>|p10|p11|</t>
        </is>
      </c>
      <c r="R138" s="17" t="inlineStr">
        <is>
          <t>seg.1.1.1.10|seg.1.1.1.11</t>
        </is>
      </c>
      <c r="S138" s="17" t="inlineStr">
        <is>
          <t>de+ru+en</t>
        </is>
      </c>
      <c r="T138" s="17" t="inlineStr">
        <is>
          <t>reasoning_bridge</t>
        </is>
      </c>
      <c r="U138" s="17" t="inlineStr"/>
    </row>
    <row r="139" ht="30" customHeight="1">
      <c r="A139" s="17" t="inlineStr">
        <is>
          <t>m128</t>
        </is>
      </c>
      <c r="B139" s="17" t="inlineStr">
        <is>
          <t>principle_edge</t>
        </is>
      </c>
      <c r="C139" s="17" t="inlineStr">
        <is>
          <t>pr.return_as_action</t>
        </is>
      </c>
      <c r="D139" s="17" t="inlineStr">
        <is>
          <t>возвращение как действие</t>
        </is>
      </c>
      <c r="E139" s="17" t="inlineStr">
        <is>
          <t>principle</t>
        </is>
      </c>
      <c r="F139" s="17" t="inlineStr">
        <is>
          <t>culminates_in</t>
        </is>
      </c>
      <c r="G139" s="17" t="inlineStr">
        <is>
          <t>кульминирует в</t>
        </is>
      </c>
      <c r="H139" s="17" t="inlineStr">
        <is>
          <t>pr.beginning_through_going_under</t>
        </is>
      </c>
      <c r="I139" s="17" t="inlineStr">
        <is>
          <t>начало через закат</t>
        </is>
      </c>
      <c r="J139" s="17" t="inlineStr">
        <is>
          <t>principle</t>
        </is>
      </c>
      <c r="K139" s="17" t="inlineStr">
        <is>
          <t>distilled_principle</t>
        </is>
      </c>
      <c r="L139" s="17" t="inlineStr">
        <is>
          <t>1,1,1,11</t>
        </is>
      </c>
      <c r="M139" s="17" t="inlineStr">
        <is>
          <t>1,1,1,12</t>
        </is>
      </c>
      <c r="N139" s="17" t="n">
        <v>11</v>
      </c>
      <c r="O139" s="17" t="n">
        <v>12</v>
      </c>
      <c r="P139" s="17" t="inlineStr">
        <is>
          <t>[11]-[12]</t>
        </is>
      </c>
      <c r="Q139" s="17" t="inlineStr">
        <is>
          <t>|p11|p12|</t>
        </is>
      </c>
      <c r="R139" s="17" t="inlineStr">
        <is>
          <t>seg.1.1.1.11|seg.1.1.1.12</t>
        </is>
      </c>
      <c r="S139" s="17" t="inlineStr">
        <is>
          <t>de+ru+en</t>
        </is>
      </c>
      <c r="T139" s="17" t="inlineStr">
        <is>
          <t>reasoning_bridge</t>
        </is>
      </c>
      <c r="U139" s="17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4" customWidth="1" min="8" max="8"/>
  </cols>
  <sheetData>
    <row r="1" ht="24" customHeight="1">
      <c r="A1" s="1" t="inlineStr">
        <is>
          <t>Coverage_view и аудит master-таблицы</t>
        </is>
      </c>
    </row>
    <row r="2" ht="20" customHeight="1">
      <c r="A2" s="2" t="inlineStr">
        <is>
          <t>Generated coverage view. Read-only serving layer: формулы используют growth-safe ceiling ranges до 5000 строк master, без привязки к текущему концу.</t>
        </is>
      </c>
    </row>
    <row r="4">
      <c r="A4" s="3" t="inlineStr">
        <is>
          <t>Файл-источник</t>
        </is>
      </c>
      <c r="B4" s="4" t="inlineStr">
        <is>
          <t>zarathustra_prologue_1_de_ru_en_merged.md</t>
        </is>
      </c>
    </row>
    <row r="5">
      <c r="A5" s="3" t="inlineStr">
        <is>
          <t>Master sheet</t>
        </is>
      </c>
      <c r="B5" s="4" t="inlineStr">
        <is>
          <t>15_Master_связность_1_12</t>
        </is>
      </c>
    </row>
    <row r="6">
      <c r="A6" s="3" t="inlineStr">
        <is>
          <t>Всего строк</t>
        </is>
      </c>
      <c r="B6" s="4">
        <f>'15_Master_связность_1_12'!B5</f>
        <v/>
      </c>
    </row>
    <row r="9" ht="28" customHeight="1">
      <c r="A9" s="5" t="inlineStr">
        <is>
          <t>Абзац</t>
        </is>
      </c>
      <c r="B9" s="5" t="inlineStr">
        <is>
          <t>segment_id</t>
        </is>
      </c>
      <c r="C9" s="5" t="inlineStr">
        <is>
          <t>Всего строк</t>
        </is>
      </c>
      <c r="D9" s="5" t="inlineStr">
        <is>
          <t>source_edge</t>
        </is>
      </c>
      <c r="E9" s="5" t="inlineStr">
        <is>
          <t>bridge_edge</t>
        </is>
      </c>
      <c r="F9" s="5" t="inlineStr">
        <is>
          <t>principle_edge</t>
        </is>
      </c>
    </row>
    <row r="10">
      <c r="A10" s="4" t="inlineStr">
        <is>
          <t>[1]</t>
        </is>
      </c>
      <c r="B10" s="4" t="inlineStr">
        <is>
          <t>seg.1.1.1.1</t>
        </is>
      </c>
      <c r="C10" s="4">
        <f>COUNTIFS('15_Master_связность_1_12'!$N$12:$N$5000,"&lt;="&amp;VALUE(MID($A10,2,LEN($A10)-2)),'15_Master_связность_1_12'!$O$12:$O$5000,"&gt;="&amp;VALUE(MID($A10,2,LEN($A10)-2)))</f>
        <v/>
      </c>
      <c r="D10" s="4">
        <f>COUNTIFS('15_Master_связность_1_12'!$N$12:$N$5000,"&lt;="&amp;VALUE(MID($A10,2,LEN($A10)-2)),'15_Master_связность_1_12'!$O$12:$O$5000,"&gt;="&amp;VALUE(MID($A10,2,LEN($A10)-2)),'15_Master_связность_1_12'!$B$12:$B$5000,"source_edge")</f>
        <v/>
      </c>
      <c r="E10" s="4">
        <f>COUNTIFS('15_Master_связность_1_12'!$N$12:$N$5000,"&lt;="&amp;VALUE(MID($A10,2,LEN($A10)-2)),'15_Master_связность_1_12'!$O$12:$O$5000,"&gt;="&amp;VALUE(MID($A10,2,LEN($A10)-2)),'15_Master_связность_1_12'!$B$12:$B$5000,"bridge_edge")</f>
        <v/>
      </c>
      <c r="F10" s="4">
        <f>COUNTIFS('15_Master_связность_1_12'!$N$12:$N$5000,"&lt;="&amp;VALUE(MID($A10,2,LEN($A10)-2)),'15_Master_связность_1_12'!$O$12:$O$5000,"&gt;="&amp;VALUE(MID($A10,2,LEN($A10)-2)),'15_Master_связность_1_12'!$B$12:$B$5000,"principle_edge")</f>
        <v/>
      </c>
      <c r="G10" s="4" t="n"/>
      <c r="H10" s="4" t="n"/>
    </row>
    <row r="11">
      <c r="A11" s="4" t="inlineStr">
        <is>
          <t>[2]</t>
        </is>
      </c>
      <c r="B11" s="4" t="inlineStr">
        <is>
          <t>seg.1.1.1.2</t>
        </is>
      </c>
      <c r="C11" s="4">
        <f>COUNTIFS('15_Master_связность_1_12'!$N$12:$N$5000,"&lt;="&amp;VALUE(MID($A11,2,LEN($A11)-2)),'15_Master_связность_1_12'!$O$12:$O$5000,"&gt;="&amp;VALUE(MID($A11,2,LEN($A11)-2)))</f>
        <v/>
      </c>
      <c r="D11" s="4">
        <f>COUNTIFS('15_Master_связность_1_12'!$N$12:$N$5000,"&lt;="&amp;VALUE(MID($A11,2,LEN($A11)-2)),'15_Master_связность_1_12'!$O$12:$O$5000,"&gt;="&amp;VALUE(MID($A11,2,LEN($A11)-2)),'15_Master_связность_1_12'!$B$12:$B$5000,"source_edge")</f>
        <v/>
      </c>
      <c r="E11" s="4">
        <f>COUNTIFS('15_Master_связность_1_12'!$N$12:$N$5000,"&lt;="&amp;VALUE(MID($A11,2,LEN($A11)-2)),'15_Master_связность_1_12'!$O$12:$O$5000,"&gt;="&amp;VALUE(MID($A11,2,LEN($A11)-2)),'15_Master_связность_1_12'!$B$12:$B$5000,"bridge_edge")</f>
        <v/>
      </c>
      <c r="F11" s="4">
        <f>COUNTIFS('15_Master_связность_1_12'!$N$12:$N$5000,"&lt;="&amp;VALUE(MID($A11,2,LEN($A11)-2)),'15_Master_связность_1_12'!$O$12:$O$5000,"&gt;="&amp;VALUE(MID($A11,2,LEN($A11)-2)),'15_Master_связность_1_12'!$B$12:$B$5000,"principle_edge")</f>
        <v/>
      </c>
      <c r="G11" s="4" t="n"/>
      <c r="H11" s="4" t="n"/>
    </row>
    <row r="12">
      <c r="A12" s="4" t="inlineStr">
        <is>
          <t>[3]</t>
        </is>
      </c>
      <c r="B12" s="4" t="inlineStr">
        <is>
          <t>seg.1.1.1.3</t>
        </is>
      </c>
      <c r="C12" s="4">
        <f>COUNTIFS('15_Master_связность_1_12'!$N$12:$N$5000,"&lt;="&amp;VALUE(MID($A12,2,LEN($A12)-2)),'15_Master_связность_1_12'!$O$12:$O$5000,"&gt;="&amp;VALUE(MID($A12,2,LEN($A12)-2)))</f>
        <v/>
      </c>
      <c r="D12" s="4">
        <f>COUNTIFS('15_Master_связность_1_12'!$N$12:$N$5000,"&lt;="&amp;VALUE(MID($A12,2,LEN($A12)-2)),'15_Master_связность_1_12'!$O$12:$O$5000,"&gt;="&amp;VALUE(MID($A12,2,LEN($A12)-2)),'15_Master_связность_1_12'!$B$12:$B$5000,"source_edge")</f>
        <v/>
      </c>
      <c r="E12" s="4">
        <f>COUNTIFS('15_Master_связность_1_12'!$N$12:$N$5000,"&lt;="&amp;VALUE(MID($A12,2,LEN($A12)-2)),'15_Master_связность_1_12'!$O$12:$O$5000,"&gt;="&amp;VALUE(MID($A12,2,LEN($A12)-2)),'15_Master_связность_1_12'!$B$12:$B$5000,"bridge_edge")</f>
        <v/>
      </c>
      <c r="F12" s="4">
        <f>COUNTIFS('15_Master_связность_1_12'!$N$12:$N$5000,"&lt;="&amp;VALUE(MID($A12,2,LEN($A12)-2)),'15_Master_связность_1_12'!$O$12:$O$5000,"&gt;="&amp;VALUE(MID($A12,2,LEN($A12)-2)),'15_Master_связность_1_12'!$B$12:$B$5000,"principle_edge")</f>
        <v/>
      </c>
      <c r="G12" s="4" t="n"/>
      <c r="H12" s="4" t="n"/>
    </row>
    <row r="13">
      <c r="A13" s="4" t="inlineStr">
        <is>
          <t>[4]</t>
        </is>
      </c>
      <c r="B13" s="4" t="inlineStr">
        <is>
          <t>seg.1.1.1.4</t>
        </is>
      </c>
      <c r="C13" s="4">
        <f>COUNTIFS('15_Master_связность_1_12'!$N$12:$N$5000,"&lt;="&amp;VALUE(MID($A13,2,LEN($A13)-2)),'15_Master_связность_1_12'!$O$12:$O$5000,"&gt;="&amp;VALUE(MID($A13,2,LEN($A13)-2)))</f>
        <v/>
      </c>
      <c r="D13" s="4">
        <f>COUNTIFS('15_Master_связность_1_12'!$N$12:$N$5000,"&lt;="&amp;VALUE(MID($A13,2,LEN($A13)-2)),'15_Master_связность_1_12'!$O$12:$O$5000,"&gt;="&amp;VALUE(MID($A13,2,LEN($A13)-2)),'15_Master_связность_1_12'!$B$12:$B$5000,"source_edge")</f>
        <v/>
      </c>
      <c r="E13" s="4">
        <f>COUNTIFS('15_Master_связность_1_12'!$N$12:$N$5000,"&lt;="&amp;VALUE(MID($A13,2,LEN($A13)-2)),'15_Master_связность_1_12'!$O$12:$O$5000,"&gt;="&amp;VALUE(MID($A13,2,LEN($A13)-2)),'15_Master_связность_1_12'!$B$12:$B$5000,"bridge_edge")</f>
        <v/>
      </c>
      <c r="F13" s="4">
        <f>COUNTIFS('15_Master_связность_1_12'!$N$12:$N$5000,"&lt;="&amp;VALUE(MID($A13,2,LEN($A13)-2)),'15_Master_связность_1_12'!$O$12:$O$5000,"&gt;="&amp;VALUE(MID($A13,2,LEN($A13)-2)),'15_Master_связность_1_12'!$B$12:$B$5000,"principle_edge")</f>
        <v/>
      </c>
      <c r="G13" s="4" t="n"/>
      <c r="H13" s="4" t="n"/>
    </row>
    <row r="14">
      <c r="A14" s="4" t="inlineStr">
        <is>
          <t>[5]</t>
        </is>
      </c>
      <c r="B14" s="4" t="inlineStr">
        <is>
          <t>seg.1.1.1.5</t>
        </is>
      </c>
      <c r="C14" s="4">
        <f>COUNTIFS('15_Master_связность_1_12'!$N$12:$N$5000,"&lt;="&amp;VALUE(MID($A14,2,LEN($A14)-2)),'15_Master_связность_1_12'!$O$12:$O$5000,"&gt;="&amp;VALUE(MID($A14,2,LEN($A14)-2)))</f>
        <v/>
      </c>
      <c r="D14" s="4">
        <f>COUNTIFS('15_Master_связность_1_12'!$N$12:$N$5000,"&lt;="&amp;VALUE(MID($A14,2,LEN($A14)-2)),'15_Master_связность_1_12'!$O$12:$O$5000,"&gt;="&amp;VALUE(MID($A14,2,LEN($A14)-2)),'15_Master_связность_1_12'!$B$12:$B$5000,"source_edge")</f>
        <v/>
      </c>
      <c r="E14" s="4">
        <f>COUNTIFS('15_Master_связность_1_12'!$N$12:$N$5000,"&lt;="&amp;VALUE(MID($A14,2,LEN($A14)-2)),'15_Master_связность_1_12'!$O$12:$O$5000,"&gt;="&amp;VALUE(MID($A14,2,LEN($A14)-2)),'15_Master_связность_1_12'!$B$12:$B$5000,"bridge_edge")</f>
        <v/>
      </c>
      <c r="F14" s="4">
        <f>COUNTIFS('15_Master_связность_1_12'!$N$12:$N$5000,"&lt;="&amp;VALUE(MID($A14,2,LEN($A14)-2)),'15_Master_связность_1_12'!$O$12:$O$5000,"&gt;="&amp;VALUE(MID($A14,2,LEN($A14)-2)),'15_Master_связность_1_12'!$B$12:$B$5000,"principle_edge")</f>
        <v/>
      </c>
      <c r="G14" s="4" t="n"/>
      <c r="H14" s="4" t="n"/>
    </row>
    <row r="15">
      <c r="A15" s="4" t="inlineStr">
        <is>
          <t>[6]</t>
        </is>
      </c>
      <c r="B15" s="4" t="inlineStr">
        <is>
          <t>seg.1.1.1.6</t>
        </is>
      </c>
      <c r="C15" s="4">
        <f>COUNTIFS('15_Master_связность_1_12'!$N$12:$N$5000,"&lt;="&amp;VALUE(MID($A15,2,LEN($A15)-2)),'15_Master_связность_1_12'!$O$12:$O$5000,"&gt;="&amp;VALUE(MID($A15,2,LEN($A15)-2)))</f>
        <v/>
      </c>
      <c r="D15" s="4">
        <f>COUNTIFS('15_Master_связность_1_12'!$N$12:$N$5000,"&lt;="&amp;VALUE(MID($A15,2,LEN($A15)-2)),'15_Master_связность_1_12'!$O$12:$O$5000,"&gt;="&amp;VALUE(MID($A15,2,LEN($A15)-2)),'15_Master_связность_1_12'!$B$12:$B$5000,"source_edge")</f>
        <v/>
      </c>
      <c r="E15" s="4">
        <f>COUNTIFS('15_Master_связность_1_12'!$N$12:$N$5000,"&lt;="&amp;VALUE(MID($A15,2,LEN($A15)-2)),'15_Master_связность_1_12'!$O$12:$O$5000,"&gt;="&amp;VALUE(MID($A15,2,LEN($A15)-2)),'15_Master_связность_1_12'!$B$12:$B$5000,"bridge_edge")</f>
        <v/>
      </c>
      <c r="F15" s="4">
        <f>COUNTIFS('15_Master_связность_1_12'!$N$12:$N$5000,"&lt;="&amp;VALUE(MID($A15,2,LEN($A15)-2)),'15_Master_связность_1_12'!$O$12:$O$5000,"&gt;="&amp;VALUE(MID($A15,2,LEN($A15)-2)),'15_Master_связность_1_12'!$B$12:$B$5000,"principle_edge")</f>
        <v/>
      </c>
      <c r="G15" s="4" t="n"/>
      <c r="H15" s="4" t="n"/>
    </row>
    <row r="16">
      <c r="A16" s="4" t="inlineStr">
        <is>
          <t>[7]</t>
        </is>
      </c>
      <c r="B16" s="4" t="inlineStr">
        <is>
          <t>seg.1.1.1.7</t>
        </is>
      </c>
      <c r="C16" s="4">
        <f>COUNTIFS('15_Master_связность_1_12'!$N$12:$N$5000,"&lt;="&amp;VALUE(MID($A16,2,LEN($A16)-2)),'15_Master_связность_1_12'!$O$12:$O$5000,"&gt;="&amp;VALUE(MID($A16,2,LEN($A16)-2)))</f>
        <v/>
      </c>
      <c r="D16" s="4">
        <f>COUNTIFS('15_Master_связность_1_12'!$N$12:$N$5000,"&lt;="&amp;VALUE(MID($A16,2,LEN($A16)-2)),'15_Master_связность_1_12'!$O$12:$O$5000,"&gt;="&amp;VALUE(MID($A16,2,LEN($A16)-2)),'15_Master_связность_1_12'!$B$12:$B$5000,"source_edge")</f>
        <v/>
      </c>
      <c r="E16" s="4">
        <f>COUNTIFS('15_Master_связность_1_12'!$N$12:$N$5000,"&lt;="&amp;VALUE(MID($A16,2,LEN($A16)-2)),'15_Master_связность_1_12'!$O$12:$O$5000,"&gt;="&amp;VALUE(MID($A16,2,LEN($A16)-2)),'15_Master_связность_1_12'!$B$12:$B$5000,"bridge_edge")</f>
        <v/>
      </c>
      <c r="F16" s="4">
        <f>COUNTIFS('15_Master_связность_1_12'!$N$12:$N$5000,"&lt;="&amp;VALUE(MID($A16,2,LEN($A16)-2)),'15_Master_связность_1_12'!$O$12:$O$5000,"&gt;="&amp;VALUE(MID($A16,2,LEN($A16)-2)),'15_Master_связность_1_12'!$B$12:$B$5000,"principle_edge")</f>
        <v/>
      </c>
      <c r="G16" s="4" t="n"/>
      <c r="H16" s="4" t="n"/>
    </row>
    <row r="17">
      <c r="A17" s="4" t="inlineStr">
        <is>
          <t>[8]</t>
        </is>
      </c>
      <c r="B17" s="4" t="inlineStr">
        <is>
          <t>seg.1.1.1.8</t>
        </is>
      </c>
      <c r="C17" s="4">
        <f>COUNTIFS('15_Master_связность_1_12'!$N$12:$N$5000,"&lt;="&amp;VALUE(MID($A17,2,LEN($A17)-2)),'15_Master_связность_1_12'!$O$12:$O$5000,"&gt;="&amp;VALUE(MID($A17,2,LEN($A17)-2)))</f>
        <v/>
      </c>
      <c r="D17" s="4">
        <f>COUNTIFS('15_Master_связность_1_12'!$N$12:$N$5000,"&lt;="&amp;VALUE(MID($A17,2,LEN($A17)-2)),'15_Master_связность_1_12'!$O$12:$O$5000,"&gt;="&amp;VALUE(MID($A17,2,LEN($A17)-2)),'15_Master_связность_1_12'!$B$12:$B$5000,"source_edge")</f>
        <v/>
      </c>
      <c r="E17" s="4">
        <f>COUNTIFS('15_Master_связность_1_12'!$N$12:$N$5000,"&lt;="&amp;VALUE(MID($A17,2,LEN($A17)-2)),'15_Master_связность_1_12'!$O$12:$O$5000,"&gt;="&amp;VALUE(MID($A17,2,LEN($A17)-2)),'15_Master_связность_1_12'!$B$12:$B$5000,"bridge_edge")</f>
        <v/>
      </c>
      <c r="F17" s="4">
        <f>COUNTIFS('15_Master_связность_1_12'!$N$12:$N$5000,"&lt;="&amp;VALUE(MID($A17,2,LEN($A17)-2)),'15_Master_связность_1_12'!$O$12:$O$5000,"&gt;="&amp;VALUE(MID($A17,2,LEN($A17)-2)),'15_Master_связность_1_12'!$B$12:$B$5000,"principle_edge")</f>
        <v/>
      </c>
      <c r="G17" s="4" t="n"/>
      <c r="H17" s="4" t="n"/>
    </row>
    <row r="18">
      <c r="A18" s="4" t="inlineStr">
        <is>
          <t>[9]</t>
        </is>
      </c>
      <c r="B18" s="4" t="inlineStr">
        <is>
          <t>seg.1.1.1.9</t>
        </is>
      </c>
      <c r="C18" s="4">
        <f>COUNTIFS('15_Master_связность_1_12'!$N$12:$N$5000,"&lt;="&amp;VALUE(MID($A18,2,LEN($A18)-2)),'15_Master_связность_1_12'!$O$12:$O$5000,"&gt;="&amp;VALUE(MID($A18,2,LEN($A18)-2)))</f>
        <v/>
      </c>
      <c r="D18" s="4">
        <f>COUNTIFS('15_Master_связность_1_12'!$N$12:$N$5000,"&lt;="&amp;VALUE(MID($A18,2,LEN($A18)-2)),'15_Master_связность_1_12'!$O$12:$O$5000,"&gt;="&amp;VALUE(MID($A18,2,LEN($A18)-2)),'15_Master_связность_1_12'!$B$12:$B$5000,"source_edge")</f>
        <v/>
      </c>
      <c r="E18" s="4">
        <f>COUNTIFS('15_Master_связность_1_12'!$N$12:$N$5000,"&lt;="&amp;VALUE(MID($A18,2,LEN($A18)-2)),'15_Master_связность_1_12'!$O$12:$O$5000,"&gt;="&amp;VALUE(MID($A18,2,LEN($A18)-2)),'15_Master_связность_1_12'!$B$12:$B$5000,"bridge_edge")</f>
        <v/>
      </c>
      <c r="F18" s="4">
        <f>COUNTIFS('15_Master_связность_1_12'!$N$12:$N$5000,"&lt;="&amp;VALUE(MID($A18,2,LEN($A18)-2)),'15_Master_связность_1_12'!$O$12:$O$5000,"&gt;="&amp;VALUE(MID($A18,2,LEN($A18)-2)),'15_Master_связность_1_12'!$B$12:$B$5000,"principle_edge")</f>
        <v/>
      </c>
      <c r="G18" s="4" t="n"/>
      <c r="H18" s="4" t="n"/>
    </row>
    <row r="19">
      <c r="A19" s="4" t="inlineStr">
        <is>
          <t>[10]</t>
        </is>
      </c>
      <c r="B19" s="4" t="inlineStr">
        <is>
          <t>seg.1.1.1.10</t>
        </is>
      </c>
      <c r="C19" s="4">
        <f>COUNTIFS('15_Master_связность_1_12'!$N$12:$N$5000,"&lt;="&amp;VALUE(MID($A19,2,LEN($A19)-2)),'15_Master_связность_1_12'!$O$12:$O$5000,"&gt;="&amp;VALUE(MID($A19,2,LEN($A19)-2)))</f>
        <v/>
      </c>
      <c r="D19" s="4">
        <f>COUNTIFS('15_Master_связность_1_12'!$N$12:$N$5000,"&lt;="&amp;VALUE(MID($A19,2,LEN($A19)-2)),'15_Master_связность_1_12'!$O$12:$O$5000,"&gt;="&amp;VALUE(MID($A19,2,LEN($A19)-2)),'15_Master_связность_1_12'!$B$12:$B$5000,"source_edge")</f>
        <v/>
      </c>
      <c r="E19" s="4">
        <f>COUNTIFS('15_Master_связность_1_12'!$N$12:$N$5000,"&lt;="&amp;VALUE(MID($A19,2,LEN($A19)-2)),'15_Master_связность_1_12'!$O$12:$O$5000,"&gt;="&amp;VALUE(MID($A19,2,LEN($A19)-2)),'15_Master_связность_1_12'!$B$12:$B$5000,"bridge_edge")</f>
        <v/>
      </c>
      <c r="F19" s="4">
        <f>COUNTIFS('15_Master_связность_1_12'!$N$12:$N$5000,"&lt;="&amp;VALUE(MID($A19,2,LEN($A19)-2)),'15_Master_связность_1_12'!$O$12:$O$5000,"&gt;="&amp;VALUE(MID($A19,2,LEN($A19)-2)),'15_Master_связность_1_12'!$B$12:$B$5000,"principle_edge")</f>
        <v/>
      </c>
      <c r="G19" s="4" t="n"/>
      <c r="H19" s="4" t="n"/>
    </row>
    <row r="20">
      <c r="A20" s="4" t="inlineStr">
        <is>
          <t>[11]</t>
        </is>
      </c>
      <c r="B20" s="4" t="inlineStr">
        <is>
          <t>seg.1.1.1.11</t>
        </is>
      </c>
      <c r="C20" s="4">
        <f>COUNTIFS('15_Master_связность_1_12'!$N$12:$N$5000,"&lt;="&amp;VALUE(MID($A20,2,LEN($A20)-2)),'15_Master_связность_1_12'!$O$12:$O$5000,"&gt;="&amp;VALUE(MID($A20,2,LEN($A20)-2)))</f>
        <v/>
      </c>
      <c r="D20" s="4">
        <f>COUNTIFS('15_Master_связность_1_12'!$N$12:$N$5000,"&lt;="&amp;VALUE(MID($A20,2,LEN($A20)-2)),'15_Master_связность_1_12'!$O$12:$O$5000,"&gt;="&amp;VALUE(MID($A20,2,LEN($A20)-2)),'15_Master_связность_1_12'!$B$12:$B$5000,"source_edge")</f>
        <v/>
      </c>
      <c r="E20" s="4">
        <f>COUNTIFS('15_Master_связность_1_12'!$N$12:$N$5000,"&lt;="&amp;VALUE(MID($A20,2,LEN($A20)-2)),'15_Master_связность_1_12'!$O$12:$O$5000,"&gt;="&amp;VALUE(MID($A20,2,LEN($A20)-2)),'15_Master_связность_1_12'!$B$12:$B$5000,"bridge_edge")</f>
        <v/>
      </c>
      <c r="F20" s="4">
        <f>COUNTIFS('15_Master_связность_1_12'!$N$12:$N$5000,"&lt;="&amp;VALUE(MID($A20,2,LEN($A20)-2)),'15_Master_связность_1_12'!$O$12:$O$5000,"&gt;="&amp;VALUE(MID($A20,2,LEN($A20)-2)),'15_Master_связность_1_12'!$B$12:$B$5000,"principle_edge")</f>
        <v/>
      </c>
      <c r="G20" s="4" t="n"/>
      <c r="H20" s="4" t="n"/>
    </row>
    <row r="21">
      <c r="A21" s="4" t="inlineStr">
        <is>
          <t>[12]</t>
        </is>
      </c>
      <c r="B21" s="4" t="inlineStr">
        <is>
          <t>seg.1.1.1.12</t>
        </is>
      </c>
      <c r="C21" s="4">
        <f>COUNTIFS('15_Master_связность_1_12'!$N$12:$N$5000,"&lt;="&amp;VALUE(MID($A21,2,LEN($A21)-2)),'15_Master_связность_1_12'!$O$12:$O$5000,"&gt;="&amp;VALUE(MID($A21,2,LEN($A21)-2)))</f>
        <v/>
      </c>
      <c r="D21" s="4">
        <f>COUNTIFS('15_Master_связность_1_12'!$N$12:$N$5000,"&lt;="&amp;VALUE(MID($A21,2,LEN($A21)-2)),'15_Master_связность_1_12'!$O$12:$O$5000,"&gt;="&amp;VALUE(MID($A21,2,LEN($A21)-2)),'15_Master_связность_1_12'!$B$12:$B$5000,"source_edge")</f>
        <v/>
      </c>
      <c r="E21" s="4">
        <f>COUNTIFS('15_Master_связность_1_12'!$N$12:$N$5000,"&lt;="&amp;VALUE(MID($A21,2,LEN($A21)-2)),'15_Master_связность_1_12'!$O$12:$O$5000,"&gt;="&amp;VALUE(MID($A21,2,LEN($A21)-2)),'15_Master_связность_1_12'!$B$12:$B$5000,"bridge_edge")</f>
        <v/>
      </c>
      <c r="F21" s="4">
        <f>COUNTIFS('15_Master_связность_1_12'!$N$12:$N$5000,"&lt;="&amp;VALUE(MID($A21,2,LEN($A21)-2)),'15_Master_связность_1_12'!$O$12:$O$5000,"&gt;="&amp;VALUE(MID($A21,2,LEN($A21)-2)),'15_Master_связность_1_12'!$B$12:$B$5000,"principle_edge")</f>
        <v/>
      </c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19" t="inlineStr">
        <is>
          <t>Тип строки</t>
        </is>
      </c>
      <c r="B24" s="19" t="inlineStr">
        <is>
          <t>Количество</t>
        </is>
      </c>
      <c r="C24" s="4" t="n"/>
      <c r="D24" s="19" t="inlineStr">
        <is>
          <t>Слой</t>
        </is>
      </c>
      <c r="E24" s="19" t="inlineStr">
        <is>
          <t>Количество</t>
        </is>
      </c>
      <c r="F24" s="4" t="n"/>
      <c r="G24" s="19" t="inlineStr">
        <is>
          <t>Роль связности</t>
        </is>
      </c>
      <c r="H24" s="19" t="inlineStr">
        <is>
          <t>Количество</t>
        </is>
      </c>
    </row>
    <row r="25">
      <c r="A25" s="20" t="inlineStr">
        <is>
          <t>source_edge</t>
        </is>
      </c>
      <c r="B25" s="21">
        <f>COUNTIF('15_Master_связность_1_12'!$B$12:$B$5000,A25)</f>
        <v/>
      </c>
      <c r="C25" s="4" t="n"/>
      <c r="D25" s="20" t="inlineStr">
        <is>
          <t>source_linked</t>
        </is>
      </c>
      <c r="E25" s="21">
        <f>COUNTIF('15_Master_связность_1_12'!$K$12:$K$5000,D25)</f>
        <v/>
      </c>
      <c r="F25" s="4" t="n"/>
      <c r="G25" s="20" t="inlineStr">
        <is>
          <t>local_chain</t>
        </is>
      </c>
      <c r="H25" s="21">
        <f>COUNTIF('15_Master_связность_1_12'!$T$12:$T$5000,G25)</f>
        <v/>
      </c>
    </row>
    <row r="26">
      <c r="A26" s="20" t="inlineStr">
        <is>
          <t>bridge_edge</t>
        </is>
      </c>
      <c r="B26" s="21">
        <f>COUNTIF('15_Master_связность_1_12'!$B$12:$B$5000,A26)</f>
        <v/>
      </c>
      <c r="C26" s="4" t="n"/>
      <c r="D26" s="20" t="inlineStr">
        <is>
          <t>distilled_principle</t>
        </is>
      </c>
      <c r="E26" s="21">
        <f>COUNTIF('15_Master_связность_1_12'!$K$12:$K$5000,D26)</f>
        <v/>
      </c>
      <c r="F26" s="4" t="n"/>
      <c r="G26" s="20" t="inlineStr">
        <is>
          <t>reasoning_bridge</t>
        </is>
      </c>
      <c r="H26" s="21">
        <f>COUNTIF('15_Master_связность_1_12'!$T$12:$T$5000,G26)</f>
        <v/>
      </c>
    </row>
    <row r="27">
      <c r="A27" s="20" t="inlineStr">
        <is>
          <t>principle_edge</t>
        </is>
      </c>
      <c r="B27" s="21">
        <f>COUNTIF('15_Master_связность_1_12'!$B$12:$B$5000,A27)</f>
        <v/>
      </c>
      <c r="C27" s="4" t="n"/>
      <c r="D27" s="20" t="inlineStr">
        <is>
          <t>authored_commentary</t>
        </is>
      </c>
      <c r="E27" s="21">
        <f>COUNTIF('15_Master_связность_1_12'!$K$12:$K$5000,D27)</f>
        <v/>
      </c>
      <c r="F27" s="4" t="n"/>
      <c r="G27" s="20" t="inlineStr">
        <is>
          <t>multi_anchor</t>
        </is>
      </c>
      <c r="H27" s="21">
        <f>COUNTIF('15_Master_связность_1_12'!$T$12:$T$5000,G27)</f>
        <v/>
      </c>
    </row>
    <row r="28">
      <c r="A28" s="20" t="n"/>
      <c r="B28" s="21" t="n"/>
      <c r="C28" s="4" t="n"/>
      <c r="D28" s="20" t="n"/>
      <c r="E28" s="21" t="n"/>
      <c r="F28" s="4" t="n"/>
      <c r="G28" s="20" t="inlineStr">
        <is>
          <t>principle_support</t>
        </is>
      </c>
      <c r="H28" s="21">
        <f>COUNTIF('15_Master_связность_1_12'!$T$12:$T$5000,G28)</f>
        <v/>
      </c>
    </row>
    <row r="29">
      <c r="A29" s="20" t="n"/>
      <c r="B29" s="21" t="n"/>
      <c r="C29" s="4" t="n"/>
      <c r="D29" s="20" t="n"/>
      <c r="E29" s="21" t="n"/>
      <c r="F29" s="4" t="n"/>
      <c r="G29" s="20" t="inlineStr">
        <is>
          <t>symbolic_support</t>
        </is>
      </c>
      <c r="H29" s="21">
        <f>COUNTIF('15_Master_связность_1_12'!$T$12:$T$5000,G29)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22" t="inlineStr">
        <is>
          <t>Проверка охвата</t>
        </is>
      </c>
      <c r="B32" s="4" t="inlineStr">
        <is>
          <t>Есть ли строки по каждому [n]?</t>
        </is>
      </c>
      <c r="C32" s="4" t="n"/>
      <c r="D32" s="4" t="n"/>
      <c r="E32" s="4" t="n"/>
      <c r="F32" s="4" t="n"/>
      <c r="G32" s="4" t="n"/>
      <c r="H32" s="4" t="n"/>
    </row>
    <row r="33">
      <c r="A33" s="22" t="inlineStr">
        <is>
          <t>Результат</t>
        </is>
      </c>
      <c r="B33" s="4">
        <f>IF(MIN(C10:C21)&gt;0,"да","нет")</f>
        <v/>
      </c>
      <c r="C33" s="4" t="n"/>
      <c r="D33" s="4" t="n"/>
      <c r="E33" s="4" t="n"/>
      <c r="F33" s="4" t="n"/>
      <c r="G33" s="4" t="n"/>
      <c r="H33" s="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xSplit="1" ySplit="11" topLeftCell="B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42" customWidth="1" min="10" max="10"/>
    <col width="22" customWidth="1" min="11" max="11"/>
    <col width="25" customWidth="1" min="12" max="12"/>
    <col width="19" customWidth="1" min="13" max="13"/>
    <col width="19" customWidth="1" min="14" max="14"/>
    <col width="19" customWidth="1" min="15" max="15"/>
    <col width="22" customWidth="1" min="16" max="16"/>
    <col width="18" customWidth="1" min="17" max="17"/>
    <col width="22" customWidth="1" min="18" max="18"/>
    <col width="42" customWidth="1" min="19" max="19"/>
    <col width="22" customWidth="1" min="20" max="20"/>
    <col width="25" customWidth="1" min="21" max="21"/>
    <col width="22" customWidth="1" min="22" max="22"/>
    <col width="42" customWidth="1" min="23" max="23"/>
    <col width="27" customWidth="1" min="24" max="24"/>
    <col width="18" customWidth="1" min="25" max="25"/>
    <col width="42" customWidth="1" min="26" max="26"/>
    <col width="42" customWidth="1" min="27" max="27"/>
  </cols>
  <sheetData>
    <row r="1">
      <c r="A1" s="23" t="inlineStr">
        <is>
          <t>Фактическая проекция: nodes_actual</t>
        </is>
      </c>
    </row>
    <row r="2">
      <c r="A2" s="24" t="inlineStr">
        <is>
          <t>Устойчивые node_id, извлечённые из master-таблицы связности по [1]-[12].</t>
        </is>
      </c>
    </row>
    <row r="4">
      <c r="A4" s="25" t="inlineStr">
        <is>
          <t>Источник</t>
        </is>
      </c>
      <c r="B4" s="4" t="inlineStr">
        <is>
          <t>15_Master_связность_1_12</t>
        </is>
      </c>
    </row>
    <row r="5">
      <c r="A5" s="25" t="inlineStr">
        <is>
          <t>Логика</t>
        </is>
      </c>
      <c r="B5" s="4" t="inlineStr">
        <is>
          <t>Чистая фактическая проекция из master: по устойчивым ID, без ручного дублирования.</t>
        </is>
      </c>
    </row>
    <row r="6">
      <c r="A6" s="25" t="inlineStr">
        <is>
          <t>Всего строк</t>
        </is>
      </c>
      <c r="B6" s="4">
        <f>COUNTA(A12:A57)</f>
        <v/>
      </c>
    </row>
    <row r="7">
      <c r="A7" s="25" t="inlineStr">
        <is>
          <t>Как читать</t>
        </is>
      </c>
      <c r="B7" s="4" t="inlineStr">
        <is>
          <t>Смотри anchors, counts, witness_scope и connected_* поля: они показывают, как сущность живет в master и где ее лучше разворачивать дальше.</t>
        </is>
      </c>
    </row>
    <row r="8">
      <c r="A8" s="25" t="inlineStr">
        <is>
          <t>Примечание</t>
        </is>
      </c>
      <c r="B8" s="4" t="inlineStr">
        <is>
          <t>literal.* пока не вынесены в отдельный слой и остаются жить в master. Здесь только устойчивые n.* узлы.</t>
        </is>
      </c>
    </row>
    <row r="11">
      <c r="A11" s="26" t="inlineStr">
        <is>
          <t>node_id</t>
        </is>
      </c>
      <c r="B11" s="26" t="inlineStr">
        <is>
          <t>label_ru</t>
        </is>
      </c>
      <c r="C11" s="26" t="inlineStr">
        <is>
          <t>class</t>
        </is>
      </c>
      <c r="D11" s="26" t="inlineStr">
        <is>
          <t>appears_as</t>
        </is>
      </c>
      <c r="E11" s="26" t="inlineStr">
        <is>
          <t>first_sec</t>
        </is>
      </c>
      <c r="F11" s="26" t="inlineStr">
        <is>
          <t>last_sec</t>
        </is>
      </c>
      <c r="G11" s="26" t="inlineStr">
        <is>
          <t>p_first</t>
        </is>
      </c>
      <c r="H11" s="26" t="inlineStr">
        <is>
          <t>p_last</t>
        </is>
      </c>
      <c r="I11" s="26" t="inlineStr">
        <is>
          <t>paragraph_tags</t>
        </is>
      </c>
      <c r="J11" s="26" t="inlineStr">
        <is>
          <t>segment_ids</t>
        </is>
      </c>
      <c r="K11" s="26" t="inlineStr">
        <is>
          <t>source_witness_scope</t>
        </is>
      </c>
      <c r="L11" s="26" t="inlineStr">
        <is>
          <t>principle_witness_scope</t>
        </is>
      </c>
      <c r="M11" s="26" t="inlineStr">
        <is>
          <t>all_witness_scope</t>
        </is>
      </c>
      <c r="N11" s="26" t="inlineStr">
        <is>
          <t>source_edge_count</t>
        </is>
      </c>
      <c r="O11" s="26" t="inlineStr">
        <is>
          <t>bridge_edge_count</t>
        </is>
      </c>
      <c r="P11" s="26" t="inlineStr">
        <is>
          <t>principle_edge_count</t>
        </is>
      </c>
      <c r="Q11" s="26" t="inlineStr">
        <is>
          <t>total_refs</t>
        </is>
      </c>
      <c r="R11" s="26" t="inlineStr">
        <is>
          <t>connected_event_state_count</t>
        </is>
      </c>
      <c r="S11" s="26" t="inlineStr">
        <is>
          <t>connected_event_state_ids</t>
        </is>
      </c>
      <c r="T11" s="26" t="inlineStr">
        <is>
          <t>connected_principle_count</t>
        </is>
      </c>
      <c r="U11" s="26" t="inlineStr">
        <is>
          <t>connected_principle_ids</t>
        </is>
      </c>
      <c r="V11" s="26" t="inlineStr">
        <is>
          <t>connected_node_count</t>
        </is>
      </c>
      <c r="W11" s="26" t="inlineStr">
        <is>
          <t>connected_node_ids</t>
        </is>
      </c>
      <c r="X11" s="26" t="inlineStr">
        <is>
          <t>connectivity_roles</t>
        </is>
      </c>
      <c r="Y11" s="26" t="inlineStr">
        <is>
          <t>layers</t>
        </is>
      </c>
      <c r="Z11" s="26" t="inlineStr">
        <is>
          <t>note_ru</t>
        </is>
      </c>
      <c r="AA11" s="26" t="inlineStr">
        <is>
          <t>master_refs</t>
        </is>
      </c>
    </row>
    <row r="12">
      <c r="A12" s="27" t="inlineStr">
        <is>
          <t>n.dawn</t>
        </is>
      </c>
      <c r="B12" s="27" t="inlineStr">
        <is>
          <t>заря</t>
        </is>
      </c>
      <c r="C12" s="27" t="inlineStr">
        <is>
          <t>time-symbol</t>
        </is>
      </c>
      <c r="D12" s="27" t="inlineStr">
        <is>
          <t>to</t>
        </is>
      </c>
      <c r="E12" s="27" t="inlineStr">
        <is>
          <t>1,1,1,1</t>
        </is>
      </c>
      <c r="F12" s="27" t="inlineStr">
        <is>
          <t>1,1,1,1</t>
        </is>
      </c>
      <c r="G12" s="27" t="n">
        <v>1</v>
      </c>
      <c r="H12" s="27" t="n">
        <v>1</v>
      </c>
      <c r="I12" s="27" t="inlineStr">
        <is>
          <t>|p1|</t>
        </is>
      </c>
      <c r="J12" s="27" t="inlineStr">
        <is>
          <t>seg.1.1.1.1</t>
        </is>
      </c>
      <c r="K12" s="27" t="inlineStr">
        <is>
          <t>de+ru+en</t>
        </is>
      </c>
      <c r="L12" s="27" t="inlineStr"/>
      <c r="M12" s="27" t="inlineStr">
        <is>
          <t>de+ru+en</t>
        </is>
      </c>
      <c r="N12" s="27" t="n">
        <v>1</v>
      </c>
      <c r="O12" s="27" t="n">
        <v>0</v>
      </c>
      <c r="P12" s="27" t="n">
        <v>0</v>
      </c>
      <c r="Q12" s="27" t="n">
        <v>1</v>
      </c>
      <c r="R12" s="27" t="n">
        <v>1</v>
      </c>
      <c r="S12" s="27" t="inlineStr">
        <is>
          <t>ev.p1.dawn_address_to_sun</t>
        </is>
      </c>
      <c r="T12" s="27" t="n">
        <v>0</v>
      </c>
      <c r="U12" s="27" t="inlineStr"/>
      <c r="V12" s="27" t="n">
        <v>0</v>
      </c>
      <c r="W12" s="27" t="inlineStr"/>
      <c r="X12" s="27" t="inlineStr">
        <is>
          <t>local_chain</t>
        </is>
      </c>
      <c r="Y12" s="27" t="inlineStr">
        <is>
          <t>source_linked</t>
        </is>
      </c>
      <c r="Z12" s="27" t="inlineStr"/>
      <c r="AA12" s="27" t="inlineStr">
        <is>
          <t>m013</t>
        </is>
      </c>
    </row>
    <row r="13">
      <c r="A13" s="27" t="inlineStr">
        <is>
          <t>n.heart</t>
        </is>
      </c>
      <c r="B13" s="27" t="inlineStr">
        <is>
          <t>сердце</t>
        </is>
      </c>
      <c r="C13" s="27" t="inlineStr">
        <is>
          <t>inner_center</t>
        </is>
      </c>
      <c r="D13" s="27" t="inlineStr">
        <is>
          <t>to</t>
        </is>
      </c>
      <c r="E13" s="27" t="inlineStr">
        <is>
          <t>1,1,1,1</t>
        </is>
      </c>
      <c r="F13" s="27" t="inlineStr">
        <is>
          <t>1,1,1,1</t>
        </is>
      </c>
      <c r="G13" s="27" t="n">
        <v>1</v>
      </c>
      <c r="H13" s="27" t="n">
        <v>1</v>
      </c>
      <c r="I13" s="27" t="inlineStr">
        <is>
          <t>|p1|</t>
        </is>
      </c>
      <c r="J13" s="27" t="inlineStr">
        <is>
          <t>seg.1.1.1.1</t>
        </is>
      </c>
      <c r="K13" s="27" t="inlineStr">
        <is>
          <t>de+ru+en</t>
        </is>
      </c>
      <c r="L13" s="27" t="inlineStr"/>
      <c r="M13" s="27" t="inlineStr">
        <is>
          <t>de+ru+en</t>
        </is>
      </c>
      <c r="N13" s="27" t="n">
        <v>1</v>
      </c>
      <c r="O13" s="27" t="n">
        <v>0</v>
      </c>
      <c r="P13" s="27" t="n">
        <v>0</v>
      </c>
      <c r="Q13" s="27" t="n">
        <v>1</v>
      </c>
      <c r="R13" s="27" t="n">
        <v>1</v>
      </c>
      <c r="S13" s="27" t="inlineStr">
        <is>
          <t>ev.p1.heart_transformation</t>
        </is>
      </c>
      <c r="T13" s="27" t="n">
        <v>0</v>
      </c>
      <c r="U13" s="27" t="inlineStr"/>
      <c r="V13" s="27" t="n">
        <v>0</v>
      </c>
      <c r="W13" s="27" t="inlineStr"/>
      <c r="X13" s="27" t="inlineStr">
        <is>
          <t>local_chain</t>
        </is>
      </c>
      <c r="Y13" s="27" t="inlineStr">
        <is>
          <t>source_linked</t>
        </is>
      </c>
      <c r="Z13" s="27" t="inlineStr"/>
      <c r="AA13" s="27" t="inlineStr">
        <is>
          <t>m010</t>
        </is>
      </c>
    </row>
    <row r="14">
      <c r="A14" s="27" t="inlineStr">
        <is>
          <t>n.homeland</t>
        </is>
      </c>
      <c r="B14" s="27" t="inlineStr">
        <is>
          <t>родина</t>
        </is>
      </c>
      <c r="C14" s="27" t="inlineStr">
        <is>
          <t>place</t>
        </is>
      </c>
      <c r="D14" s="27" t="inlineStr">
        <is>
          <t>to</t>
        </is>
      </c>
      <c r="E14" s="27" t="inlineStr">
        <is>
          <t>1,1,1,1</t>
        </is>
      </c>
      <c r="F14" s="27" t="inlineStr">
        <is>
          <t>1,1,1,1</t>
        </is>
      </c>
      <c r="G14" s="27" t="n">
        <v>1</v>
      </c>
      <c r="H14" s="27" t="n">
        <v>1</v>
      </c>
      <c r="I14" s="27" t="inlineStr">
        <is>
          <t>|p1|</t>
        </is>
      </c>
      <c r="J14" s="27" t="inlineStr">
        <is>
          <t>seg.1.1.1.1</t>
        </is>
      </c>
      <c r="K14" s="27" t="inlineStr">
        <is>
          <t>de+ru+en</t>
        </is>
      </c>
      <c r="L14" s="27" t="inlineStr"/>
      <c r="M14" s="27" t="inlineStr">
        <is>
          <t>de+ru+en</t>
        </is>
      </c>
      <c r="N14" s="27" t="n">
        <v>1</v>
      </c>
      <c r="O14" s="27" t="n">
        <v>0</v>
      </c>
      <c r="P14" s="27" t="n">
        <v>0</v>
      </c>
      <c r="Q14" s="27" t="n">
        <v>1</v>
      </c>
      <c r="R14" s="27" t="n">
        <v>1</v>
      </c>
      <c r="S14" s="27" t="inlineStr">
        <is>
          <t>ev.p1.departure_from_origin</t>
        </is>
      </c>
      <c r="T14" s="27" t="n">
        <v>0</v>
      </c>
      <c r="U14" s="27" t="inlineStr"/>
      <c r="V14" s="27" t="n">
        <v>0</v>
      </c>
      <c r="W14" s="27" t="inlineStr"/>
      <c r="X14" s="27" t="inlineStr">
        <is>
          <t>local_chain</t>
        </is>
      </c>
      <c r="Y14" s="27" t="inlineStr">
        <is>
          <t>source_linked</t>
        </is>
      </c>
      <c r="Z14" s="27" t="inlineStr"/>
      <c r="AA14" s="27" t="inlineStr">
        <is>
          <t>m002</t>
        </is>
      </c>
    </row>
    <row r="15">
      <c r="A15" s="27" t="inlineStr">
        <is>
          <t>n.lake_of_homeland</t>
        </is>
      </c>
      <c r="B15" s="27" t="inlineStr">
        <is>
          <t>озеро родины</t>
        </is>
      </c>
      <c r="C15" s="27" t="inlineStr">
        <is>
          <t>place-symbol</t>
        </is>
      </c>
      <c r="D15" s="27" t="inlineStr">
        <is>
          <t>to</t>
        </is>
      </c>
      <c r="E15" s="27" t="inlineStr">
        <is>
          <t>1,1,1,1</t>
        </is>
      </c>
      <c r="F15" s="27" t="inlineStr">
        <is>
          <t>1,1,1,1</t>
        </is>
      </c>
      <c r="G15" s="27" t="n">
        <v>1</v>
      </c>
      <c r="H15" s="27" t="n">
        <v>1</v>
      </c>
      <c r="I15" s="27" t="inlineStr">
        <is>
          <t>|p1|</t>
        </is>
      </c>
      <c r="J15" s="27" t="inlineStr">
        <is>
          <t>seg.1.1.1.1</t>
        </is>
      </c>
      <c r="K15" s="27" t="inlineStr">
        <is>
          <t>de+ru+en</t>
        </is>
      </c>
      <c r="L15" s="27" t="inlineStr"/>
      <c r="M15" s="27" t="inlineStr">
        <is>
          <t>de+ru+en</t>
        </is>
      </c>
      <c r="N15" s="27" t="n">
        <v>1</v>
      </c>
      <c r="O15" s="27" t="n">
        <v>0</v>
      </c>
      <c r="P15" s="27" t="n">
        <v>0</v>
      </c>
      <c r="Q15" s="27" t="n">
        <v>1</v>
      </c>
      <c r="R15" s="27" t="n">
        <v>1</v>
      </c>
      <c r="S15" s="27" t="inlineStr">
        <is>
          <t>ev.p1.departure_from_origin</t>
        </is>
      </c>
      <c r="T15" s="27" t="n">
        <v>0</v>
      </c>
      <c r="U15" s="27" t="inlineStr"/>
      <c r="V15" s="27" t="n">
        <v>0</v>
      </c>
      <c r="W15" s="27" t="inlineStr"/>
      <c r="X15" s="27" t="inlineStr">
        <is>
          <t>local_chain</t>
        </is>
      </c>
      <c r="Y15" s="27" t="inlineStr">
        <is>
          <t>source_linked</t>
        </is>
      </c>
      <c r="Z15" s="27" t="inlineStr"/>
      <c r="AA15" s="27" t="inlineStr">
        <is>
          <t>m003</t>
        </is>
      </c>
    </row>
    <row r="16">
      <c r="A16" s="27" t="inlineStr">
        <is>
          <t>n.mountains</t>
        </is>
      </c>
      <c r="B16" s="27" t="inlineStr">
        <is>
          <t>горы</t>
        </is>
      </c>
      <c r="C16" s="27" t="inlineStr">
        <is>
          <t>place</t>
        </is>
      </c>
      <c r="D16" s="27" t="inlineStr">
        <is>
          <t>to</t>
        </is>
      </c>
      <c r="E16" s="27" t="inlineStr">
        <is>
          <t>1,1,1,1</t>
        </is>
      </c>
      <c r="F16" s="27" t="inlineStr">
        <is>
          <t>1,1,1,1</t>
        </is>
      </c>
      <c r="G16" s="27" t="n">
        <v>1</v>
      </c>
      <c r="H16" s="27" t="n">
        <v>1</v>
      </c>
      <c r="I16" s="27" t="inlineStr">
        <is>
          <t>|p1|</t>
        </is>
      </c>
      <c r="J16" s="27" t="inlineStr">
        <is>
          <t>seg.1.1.1.1</t>
        </is>
      </c>
      <c r="K16" s="27" t="inlineStr">
        <is>
          <t>de+ru+en</t>
        </is>
      </c>
      <c r="L16" s="27" t="inlineStr"/>
      <c r="M16" s="27" t="inlineStr">
        <is>
          <t>de+ru+en</t>
        </is>
      </c>
      <c r="N16" s="27" t="n">
        <v>1</v>
      </c>
      <c r="O16" s="27" t="n">
        <v>0</v>
      </c>
      <c r="P16" s="27" t="n">
        <v>0</v>
      </c>
      <c r="Q16" s="27" t="n">
        <v>1</v>
      </c>
      <c r="R16" s="27" t="n">
        <v>1</v>
      </c>
      <c r="S16" s="27" t="inlineStr">
        <is>
          <t>ev.p1.departure_from_origin</t>
        </is>
      </c>
      <c r="T16" s="27" t="n">
        <v>0</v>
      </c>
      <c r="U16" s="27" t="inlineStr"/>
      <c r="V16" s="27" t="n">
        <v>0</v>
      </c>
      <c r="W16" s="27" t="inlineStr"/>
      <c r="X16" s="27" t="inlineStr">
        <is>
          <t>local_chain</t>
        </is>
      </c>
      <c r="Y16" s="27" t="inlineStr">
        <is>
          <t>source_linked</t>
        </is>
      </c>
      <c r="Z16" s="27" t="inlineStr"/>
      <c r="AA16" s="27" t="inlineStr">
        <is>
          <t>m004</t>
        </is>
      </c>
    </row>
    <row r="17">
      <c r="A17" s="27" t="inlineStr">
        <is>
          <t>n.solitude</t>
        </is>
      </c>
      <c r="B17" s="27" t="inlineStr">
        <is>
          <t>одиночество / уединение</t>
        </is>
      </c>
      <c r="C17" s="27" t="inlineStr">
        <is>
          <t>state-concept</t>
        </is>
      </c>
      <c r="D17" s="27" t="inlineStr">
        <is>
          <t>to</t>
        </is>
      </c>
      <c r="E17" s="27" t="inlineStr">
        <is>
          <t>1,1,1,1</t>
        </is>
      </c>
      <c r="F17" s="27" t="inlineStr">
        <is>
          <t>1,1,1,1</t>
        </is>
      </c>
      <c r="G17" s="27" t="n">
        <v>1</v>
      </c>
      <c r="H17" s="27" t="n">
        <v>1</v>
      </c>
      <c r="I17" s="27" t="inlineStr">
        <is>
          <t>|p1|</t>
        </is>
      </c>
      <c r="J17" s="27" t="inlineStr">
        <is>
          <t>seg.1.1.1.1</t>
        </is>
      </c>
      <c r="K17" s="27" t="inlineStr">
        <is>
          <t>de+ru+en</t>
        </is>
      </c>
      <c r="L17" s="27" t="inlineStr"/>
      <c r="M17" s="27" t="inlineStr">
        <is>
          <t>de+ru+en</t>
        </is>
      </c>
      <c r="N17" s="27" t="n">
        <v>1</v>
      </c>
      <c r="O17" s="27" t="n">
        <v>0</v>
      </c>
      <c r="P17" s="27" t="n">
        <v>0</v>
      </c>
      <c r="Q17" s="27" t="n">
        <v>1</v>
      </c>
      <c r="R17" s="27" t="n">
        <v>1</v>
      </c>
      <c r="S17" s="27" t="inlineStr">
        <is>
          <t>st.p1.solitary_ripening_10y</t>
        </is>
      </c>
      <c r="T17" s="27" t="n">
        <v>0</v>
      </c>
      <c r="U17" s="27" t="inlineStr"/>
      <c r="V17" s="27" t="n">
        <v>0</v>
      </c>
      <c r="W17" s="27" t="inlineStr"/>
      <c r="X17" s="27" t="inlineStr">
        <is>
          <t>local_chain</t>
        </is>
      </c>
      <c r="Y17" s="27" t="inlineStr">
        <is>
          <t>source_linked</t>
        </is>
      </c>
      <c r="Z17" s="27" t="inlineStr"/>
      <c r="AA17" s="27" t="inlineStr">
        <is>
          <t>m007</t>
        </is>
      </c>
    </row>
    <row r="18">
      <c r="A18" s="27" t="inlineStr">
        <is>
          <t>n.spirit</t>
        </is>
      </c>
      <c r="B18" s="27" t="inlineStr">
        <is>
          <t>дух</t>
        </is>
      </c>
      <c r="C18" s="27" t="inlineStr">
        <is>
          <t>inner_resource</t>
        </is>
      </c>
      <c r="D18" s="27" t="inlineStr">
        <is>
          <t>to</t>
        </is>
      </c>
      <c r="E18" s="27" t="inlineStr">
        <is>
          <t>1,1,1,1</t>
        </is>
      </c>
      <c r="F18" s="27" t="inlineStr">
        <is>
          <t>1,1,1,1</t>
        </is>
      </c>
      <c r="G18" s="27" t="n">
        <v>1</v>
      </c>
      <c r="H18" s="27" t="n">
        <v>1</v>
      </c>
      <c r="I18" s="27" t="inlineStr">
        <is>
          <t>|p1|</t>
        </is>
      </c>
      <c r="J18" s="27" t="inlineStr">
        <is>
          <t>seg.1.1.1.1</t>
        </is>
      </c>
      <c r="K18" s="27" t="inlineStr">
        <is>
          <t>de+ru+en</t>
        </is>
      </c>
      <c r="L18" s="27" t="inlineStr"/>
      <c r="M18" s="27" t="inlineStr">
        <is>
          <t>de+ru+en</t>
        </is>
      </c>
      <c r="N18" s="27" t="n">
        <v>1</v>
      </c>
      <c r="O18" s="27" t="n">
        <v>0</v>
      </c>
      <c r="P18" s="27" t="n">
        <v>0</v>
      </c>
      <c r="Q18" s="27" t="n">
        <v>1</v>
      </c>
      <c r="R18" s="27" t="n">
        <v>1</v>
      </c>
      <c r="S18" s="27" t="inlineStr">
        <is>
          <t>st.p1.solitary_ripening_10y</t>
        </is>
      </c>
      <c r="T18" s="27" t="n">
        <v>0</v>
      </c>
      <c r="U18" s="27" t="inlineStr"/>
      <c r="V18" s="27" t="n">
        <v>0</v>
      </c>
      <c r="W18" s="27" t="inlineStr"/>
      <c r="X18" s="27" t="inlineStr">
        <is>
          <t>local_chain</t>
        </is>
      </c>
      <c r="Y18" s="27" t="inlineStr">
        <is>
          <t>source_linked</t>
        </is>
      </c>
      <c r="Z18" s="27" t="inlineStr"/>
      <c r="AA18" s="27" t="inlineStr">
        <is>
          <t>m006</t>
        </is>
      </c>
    </row>
    <row r="19">
      <c r="A19" s="27" t="inlineStr">
        <is>
          <t>n.sun</t>
        </is>
      </c>
      <c r="B19" s="27" t="inlineStr">
        <is>
          <t>солнце / великое светило</t>
        </is>
      </c>
      <c r="C19" s="27" t="inlineStr">
        <is>
          <t>cosmic_entity</t>
        </is>
      </c>
      <c r="D19" s="27" t="inlineStr">
        <is>
          <t>both</t>
        </is>
      </c>
      <c r="E19" s="27" t="inlineStr">
        <is>
          <t>1,1,1,1</t>
        </is>
      </c>
      <c r="F19" s="27" t="inlineStr">
        <is>
          <t>1,1,1,10</t>
        </is>
      </c>
      <c r="G19" s="27" t="n">
        <v>1</v>
      </c>
      <c r="H19" s="27" t="n">
        <v>10</v>
      </c>
      <c r="I19" s="27" t="inlineStr">
        <is>
          <t>|p1|p2|p3|p4|p7|p9|p10|</t>
        </is>
      </c>
      <c r="J19" s="27" t="inlineStr">
        <is>
          <t>seg.1.1.1.1, seg.1.1.1.10, seg.1.1.1.2, seg.1.1.1.3, seg.1.1.1.4, seg.1.1.1.7, seg.1.1.1.9</t>
        </is>
      </c>
      <c r="K19" s="27" t="inlineStr">
        <is>
          <t>de+ru+en</t>
        </is>
      </c>
      <c r="L19" s="27" t="inlineStr"/>
      <c r="M19" s="27" t="inlineStr">
        <is>
          <t>de+ru+en</t>
        </is>
      </c>
      <c r="N19" s="27" t="n">
        <v>10</v>
      </c>
      <c r="O19" s="27" t="n">
        <v>0</v>
      </c>
      <c r="P19" s="27" t="n">
        <v>0</v>
      </c>
      <c r="Q19" s="27" t="n">
        <v>10</v>
      </c>
      <c r="R19" s="27" t="n">
        <v>8</v>
      </c>
      <c r="S19" s="27" t="inlineStr">
        <is>
          <t>ev.p1.dawn_address_to_sun, ev.p3.sun_ascends_to_cave_10y, ev.p4.bless_sun_for_overflow, ev.p4.morning_wait_for_sun, ev.p4.receive_overflow_from_sun, ev.p7.sun_evening_underworld_light, st.p2.solar_happiness_requires_recipients, st.p3.sun_would_grow_sated_without_triad</t>
        </is>
      </c>
      <c r="T19" s="27" t="n">
        <v>0</v>
      </c>
      <c r="U19" s="27" t="inlineStr"/>
      <c r="V19" s="27" t="n">
        <v>2</v>
      </c>
      <c r="W19" s="27" t="inlineStr">
        <is>
          <t>n.bliss, n.tranquil_eye</t>
        </is>
      </c>
      <c r="X19" s="27" t="inlineStr">
        <is>
          <t>local_chain</t>
        </is>
      </c>
      <c r="Y19" s="27" t="inlineStr">
        <is>
          <t>source_linked</t>
        </is>
      </c>
      <c r="Z19" s="27" t="inlineStr">
        <is>
          <t>солнечное счастье задано как отношение | условная конструкция пресыщения | солнечный образ сужен до ока | твоя отрада относится к светилу</t>
        </is>
      </c>
      <c r="AA19" s="27" t="inlineStr">
        <is>
          <t>m014, m015, m019, m022, m031, m034, m036, m064, m078, m096</t>
        </is>
      </c>
    </row>
    <row r="20">
      <c r="A20" s="27" t="inlineStr">
        <is>
          <t>n.zarathustra</t>
        </is>
      </c>
      <c r="B20" s="27" t="inlineStr">
        <is>
          <t>Заратустра</t>
        </is>
      </c>
      <c r="C20" s="27" t="inlineStr">
        <is>
          <t>persona</t>
        </is>
      </c>
      <c r="D20" s="27" t="inlineStr">
        <is>
          <t>both</t>
        </is>
      </c>
      <c r="E20" s="27" t="inlineStr">
        <is>
          <t>1,1,1,1</t>
        </is>
      </c>
      <c r="F20" s="27" t="inlineStr">
        <is>
          <t>1,1,1,12</t>
        </is>
      </c>
      <c r="G20" s="27" t="n">
        <v>1</v>
      </c>
      <c r="H20" s="27" t="n">
        <v>12</v>
      </c>
      <c r="I20" s="27" t="inlineStr">
        <is>
          <t>|p1|p3|p5|p6|p7|p8|p9|p10|p11|p12|</t>
        </is>
      </c>
      <c r="J20" s="27" t="inlineStr">
        <is>
          <t>seg.1.1.1.1, seg.1.1.1.10, seg.1.1.1.11, seg.1.1.1.12, seg.1.1.1.3, seg.1.1.1.5, seg.1.1.1.6, seg.1.1.1.7, seg.1.1.1.8, seg.1.1.1.9</t>
        </is>
      </c>
      <c r="K20" s="27" t="inlineStr">
        <is>
          <t>de+ru+en</t>
        </is>
      </c>
      <c r="L20" s="27" t="inlineStr"/>
      <c r="M20" s="27" t="inlineStr">
        <is>
          <t>de+ru+en</t>
        </is>
      </c>
      <c r="N20" s="27" t="n">
        <v>13</v>
      </c>
      <c r="O20" s="27" t="n">
        <v>0</v>
      </c>
      <c r="P20" s="27" t="n">
        <v>0</v>
      </c>
      <c r="Q20" s="27" t="n">
        <v>13</v>
      </c>
      <c r="R20" s="27" t="n">
        <v>12</v>
      </c>
      <c r="S20" s="27" t="inlineStr">
        <is>
          <t>ev.p1.dawn_address_to_sun, ev.p1.departure_from_origin, ev.p10.request_blessing_of_cup, ev.p12.beginning_of_zarathustra_going_under, ev.p5_6.need_hands_for_giving, ev.p6.bestow_and_distribute, ev.p7.descend_into_depth, ev.p8.go_under_to_humans, ev.p9.request_blessing_from_tranquil_eye, st.p1.solitary_ripening_10y, st.p11.zarathustra_wants_to_become_human_again, st.p5.overfull_wisdom</t>
        </is>
      </c>
      <c r="T20" s="27" t="n">
        <v>0</v>
      </c>
      <c r="U20" s="27" t="inlineStr"/>
      <c r="V20" s="27" t="n">
        <v>1</v>
      </c>
      <c r="W20" s="27" t="inlineStr">
        <is>
          <t>n.triad_zarathustra_eagle_serpent</t>
        </is>
      </c>
      <c r="X20" s="27" t="inlineStr">
        <is>
          <t>local_chain, multi_anchor</t>
        </is>
      </c>
      <c r="Y20" s="27" t="inlineStr">
        <is>
          <t>source_linked</t>
        </is>
      </c>
      <c r="Z20" s="27" t="inlineStr">
        <is>
          <t>стартовый пространственный разрыв | десятилетнее уединение как состояние</t>
        </is>
      </c>
      <c r="AA20" s="27" t="inlineStr">
        <is>
          <t>m001, m005, m012, m026, m039, m046, m049, m061, m072, m076, m084, m100, m104</t>
        </is>
      </c>
    </row>
    <row r="21">
      <c r="A21" s="27" t="inlineStr">
        <is>
          <t>n.happiness</t>
        </is>
      </c>
      <c r="B21" s="27" t="inlineStr">
        <is>
          <t>счастье</t>
        </is>
      </c>
      <c r="C21" s="27" t="inlineStr">
        <is>
          <t>quality</t>
        </is>
      </c>
      <c r="D21" s="27" t="inlineStr">
        <is>
          <t>both</t>
        </is>
      </c>
      <c r="E21" s="27" t="inlineStr">
        <is>
          <t>1,1,1,2</t>
        </is>
      </c>
      <c r="F21" s="27" t="inlineStr">
        <is>
          <t>1,1,1,2</t>
        </is>
      </c>
      <c r="G21" s="27" t="n">
        <v>2</v>
      </c>
      <c r="H21" s="27" t="n">
        <v>2</v>
      </c>
      <c r="I21" s="27" t="inlineStr">
        <is>
          <t>|p2|</t>
        </is>
      </c>
      <c r="J21" s="27" t="inlineStr">
        <is>
          <t>seg.1.1.1.2</t>
        </is>
      </c>
      <c r="K21" s="27" t="inlineStr">
        <is>
          <t>de+ru+en</t>
        </is>
      </c>
      <c r="L21" s="27" t="inlineStr"/>
      <c r="M21" s="27" t="inlineStr">
        <is>
          <t>de+ru+en</t>
        </is>
      </c>
      <c r="N21" s="27" t="n">
        <v>2</v>
      </c>
      <c r="O21" s="27" t="n">
        <v>0</v>
      </c>
      <c r="P21" s="27" t="n">
        <v>0</v>
      </c>
      <c r="Q21" s="27" t="n">
        <v>2</v>
      </c>
      <c r="R21" s="27" t="n">
        <v>1</v>
      </c>
      <c r="S21" s="27" t="inlineStr">
        <is>
          <t>st.p2.solar_happiness_requires_recipients</t>
        </is>
      </c>
      <c r="T21" s="27" t="n">
        <v>0</v>
      </c>
      <c r="U21" s="27" t="inlineStr"/>
      <c r="V21" s="27" t="n">
        <v>1</v>
      </c>
      <c r="W21" s="27" t="inlineStr">
        <is>
          <t>n.recipients_of_light</t>
        </is>
      </c>
      <c r="X21" s="27" t="inlineStr">
        <is>
          <t>local_chain</t>
        </is>
      </c>
      <c r="Y21" s="27" t="inlineStr">
        <is>
          <t>source_linked</t>
        </is>
      </c>
      <c r="Z21" s="27" t="inlineStr"/>
      <c r="AA21" s="27" t="inlineStr">
        <is>
          <t>m016, m017</t>
        </is>
      </c>
    </row>
    <row r="22">
      <c r="A22" s="27" t="inlineStr">
        <is>
          <t>n.recipients_of_light</t>
        </is>
      </c>
      <c r="B22" s="27" t="inlineStr">
        <is>
          <t>те, кому светят</t>
        </is>
      </c>
      <c r="C22" s="27" t="inlineStr">
        <is>
          <t>relational_group</t>
        </is>
      </c>
      <c r="D22" s="27" t="inlineStr">
        <is>
          <t>to</t>
        </is>
      </c>
      <c r="E22" s="27" t="inlineStr">
        <is>
          <t>1,1,1,2</t>
        </is>
      </c>
      <c r="F22" s="27" t="inlineStr">
        <is>
          <t>1,1,1,2</t>
        </is>
      </c>
      <c r="G22" s="27" t="n">
        <v>2</v>
      </c>
      <c r="H22" s="27" t="n">
        <v>2</v>
      </c>
      <c r="I22" s="27" t="inlineStr">
        <is>
          <t>|p2|</t>
        </is>
      </c>
      <c r="J22" s="27" t="inlineStr">
        <is>
          <t>seg.1.1.1.2</t>
        </is>
      </c>
      <c r="K22" s="27" t="inlineStr">
        <is>
          <t>de+ru+en</t>
        </is>
      </c>
      <c r="L22" s="27" t="inlineStr"/>
      <c r="M22" s="27" t="inlineStr">
        <is>
          <t>de+ru+en</t>
        </is>
      </c>
      <c r="N22" s="27" t="n">
        <v>2</v>
      </c>
      <c r="O22" s="27" t="n">
        <v>0</v>
      </c>
      <c r="P22" s="27" t="n">
        <v>0</v>
      </c>
      <c r="Q22" s="27" t="n">
        <v>2</v>
      </c>
      <c r="R22" s="27" t="n">
        <v>1</v>
      </c>
      <c r="S22" s="27" t="inlineStr">
        <is>
          <t>st.p2.solar_happiness_requires_recipients</t>
        </is>
      </c>
      <c r="T22" s="27" t="n">
        <v>0</v>
      </c>
      <c r="U22" s="27" t="inlineStr"/>
      <c r="V22" s="27" t="n">
        <v>1</v>
      </c>
      <c r="W22" s="27" t="inlineStr">
        <is>
          <t>n.happiness</t>
        </is>
      </c>
      <c r="X22" s="27" t="inlineStr">
        <is>
          <t>local_chain</t>
        </is>
      </c>
      <c r="Y22" s="27" t="inlineStr">
        <is>
          <t>source_linked</t>
        </is>
      </c>
      <c r="Z22" s="27" t="inlineStr">
        <is>
          <t>адресаты света держат смысл счастья</t>
        </is>
      </c>
      <c r="AA22" s="27" t="inlineStr">
        <is>
          <t>m017, m018</t>
        </is>
      </c>
    </row>
    <row r="23">
      <c r="A23" s="27" t="inlineStr">
        <is>
          <t>n.cave</t>
        </is>
      </c>
      <c r="B23" s="27" t="inlineStr">
        <is>
          <t>пещера</t>
        </is>
      </c>
      <c r="C23" s="27" t="inlineStr">
        <is>
          <t>place-threshold</t>
        </is>
      </c>
      <c r="D23" s="27" t="inlineStr">
        <is>
          <t>to</t>
        </is>
      </c>
      <c r="E23" s="27" t="inlineStr">
        <is>
          <t>1,1,1,3</t>
        </is>
      </c>
      <c r="F23" s="27" t="inlineStr">
        <is>
          <t>1,1,1,3</t>
        </is>
      </c>
      <c r="G23" s="27" t="n">
        <v>3</v>
      </c>
      <c r="H23" s="27" t="n">
        <v>3</v>
      </c>
      <c r="I23" s="27" t="inlineStr">
        <is>
          <t>|p3|</t>
        </is>
      </c>
      <c r="J23" s="27" t="inlineStr">
        <is>
          <t>seg.1.1.1.3</t>
        </is>
      </c>
      <c r="K23" s="27" t="inlineStr">
        <is>
          <t>de+ru+en</t>
        </is>
      </c>
      <c r="L23" s="27" t="inlineStr"/>
      <c r="M23" s="27" t="inlineStr">
        <is>
          <t>de+ru+en</t>
        </is>
      </c>
      <c r="N23" s="27" t="n">
        <v>1</v>
      </c>
      <c r="O23" s="27" t="n">
        <v>0</v>
      </c>
      <c r="P23" s="27" t="n">
        <v>0</v>
      </c>
      <c r="Q23" s="27" t="n">
        <v>1</v>
      </c>
      <c r="R23" s="27" t="n">
        <v>1</v>
      </c>
      <c r="S23" s="27" t="inlineStr">
        <is>
          <t>ev.p3.sun_ascends_to_cave_10y</t>
        </is>
      </c>
      <c r="T23" s="27" t="n">
        <v>0</v>
      </c>
      <c r="U23" s="27" t="inlineStr"/>
      <c r="V23" s="27" t="n">
        <v>0</v>
      </c>
      <c r="W23" s="27" t="inlineStr"/>
      <c r="X23" s="27" t="inlineStr">
        <is>
          <t>local_chain</t>
        </is>
      </c>
      <c r="Y23" s="27" t="inlineStr">
        <is>
          <t>source_linked</t>
        </is>
      </c>
      <c r="Z23" s="27" t="inlineStr"/>
      <c r="AA23" s="27" t="inlineStr">
        <is>
          <t>m020</t>
        </is>
      </c>
    </row>
    <row r="24">
      <c r="A24" s="27" t="inlineStr">
        <is>
          <t>n.eagle</t>
        </is>
      </c>
      <c r="B24" s="27" t="inlineStr">
        <is>
          <t>орёл</t>
        </is>
      </c>
      <c r="C24" s="27" t="inlineStr">
        <is>
          <t>animal-symbol</t>
        </is>
      </c>
      <c r="D24" s="27" t="inlineStr">
        <is>
          <t>to</t>
        </is>
      </c>
      <c r="E24" s="27" t="inlineStr">
        <is>
          <t>1,1,1,3</t>
        </is>
      </c>
      <c r="F24" s="27" t="inlineStr">
        <is>
          <t>1,1,1,3</t>
        </is>
      </c>
      <c r="G24" s="27" t="n">
        <v>3</v>
      </c>
      <c r="H24" s="27" t="n">
        <v>3</v>
      </c>
      <c r="I24" s="27" t="inlineStr">
        <is>
          <t>|p3|</t>
        </is>
      </c>
      <c r="J24" s="27" t="inlineStr">
        <is>
          <t>seg.1.1.1.3</t>
        </is>
      </c>
      <c r="K24" s="27" t="inlineStr">
        <is>
          <t>de+ru+en</t>
        </is>
      </c>
      <c r="L24" s="27" t="inlineStr"/>
      <c r="M24" s="27" t="inlineStr">
        <is>
          <t>de+ru+en</t>
        </is>
      </c>
      <c r="N24" s="27" t="n">
        <v>1</v>
      </c>
      <c r="O24" s="27" t="n">
        <v>0</v>
      </c>
      <c r="P24" s="27" t="n">
        <v>0</v>
      </c>
      <c r="Q24" s="27" t="n">
        <v>1</v>
      </c>
      <c r="R24" s="27" t="n">
        <v>0</v>
      </c>
      <c r="S24" s="27" t="inlineStr"/>
      <c r="T24" s="27" t="n">
        <v>0</v>
      </c>
      <c r="U24" s="27" t="inlineStr"/>
      <c r="V24" s="27" t="n">
        <v>1</v>
      </c>
      <c r="W24" s="27" t="inlineStr">
        <is>
          <t>n.triad_zarathustra_eagle_serpent</t>
        </is>
      </c>
      <c r="X24" s="27" t="inlineStr">
        <is>
          <t>local_chain</t>
        </is>
      </c>
      <c r="Y24" s="27" t="inlineStr">
        <is>
          <t>source_linked</t>
        </is>
      </c>
      <c r="Z24" s="27" t="inlineStr"/>
      <c r="AA24" s="27" t="inlineStr">
        <is>
          <t>m027</t>
        </is>
      </c>
    </row>
    <row r="25">
      <c r="A25" s="27" t="inlineStr">
        <is>
          <t>n.light</t>
        </is>
      </c>
      <c r="B25" s="27" t="inlineStr">
        <is>
          <t>свет</t>
        </is>
      </c>
      <c r="C25" s="27" t="inlineStr">
        <is>
          <t>quality-substance</t>
        </is>
      </c>
      <c r="D25" s="27" t="inlineStr">
        <is>
          <t>to</t>
        </is>
      </c>
      <c r="E25" s="27" t="inlineStr">
        <is>
          <t>1,1,1,3</t>
        </is>
      </c>
      <c r="F25" s="27" t="inlineStr">
        <is>
          <t>1,1,1,7</t>
        </is>
      </c>
      <c r="G25" s="27" t="n">
        <v>3</v>
      </c>
      <c r="H25" s="27" t="n">
        <v>7</v>
      </c>
      <c r="I25" s="27" t="inlineStr">
        <is>
          <t>|p3|p7|</t>
        </is>
      </c>
      <c r="J25" s="27" t="inlineStr">
        <is>
          <t>seg.1.1.1.3, seg.1.1.1.7</t>
        </is>
      </c>
      <c r="K25" s="27" t="inlineStr">
        <is>
          <t>de+ru+en</t>
        </is>
      </c>
      <c r="L25" s="27" t="inlineStr"/>
      <c r="M25" s="27" t="inlineStr">
        <is>
          <t>de+ru+en</t>
        </is>
      </c>
      <c r="N25" s="27" t="n">
        <v>2</v>
      </c>
      <c r="O25" s="27" t="n">
        <v>0</v>
      </c>
      <c r="P25" s="27" t="n">
        <v>0</v>
      </c>
      <c r="Q25" s="27" t="n">
        <v>2</v>
      </c>
      <c r="R25" s="27" t="n">
        <v>2</v>
      </c>
      <c r="S25" s="27" t="inlineStr">
        <is>
          <t>ev.p7.sun_evening_underworld_light, st.p3.sun_would_grow_sated_without_triad</t>
        </is>
      </c>
      <c r="T25" s="27" t="n">
        <v>0</v>
      </c>
      <c r="U25" s="27" t="inlineStr"/>
      <c r="V25" s="27" t="n">
        <v>0</v>
      </c>
      <c r="W25" s="27" t="inlineStr"/>
      <c r="X25" s="27" t="inlineStr">
        <is>
          <t>local_chain</t>
        </is>
      </c>
      <c r="Y25" s="27" t="inlineStr">
        <is>
          <t>source_linked</t>
        </is>
      </c>
      <c r="Z25" s="27" t="inlineStr"/>
      <c r="AA25" s="27" t="inlineStr">
        <is>
          <t>m023, m067</t>
        </is>
      </c>
    </row>
    <row r="26">
      <c r="A26" s="27" t="inlineStr">
        <is>
          <t>n.path</t>
        </is>
      </c>
      <c r="B26" s="27" t="inlineStr">
        <is>
          <t>путь</t>
        </is>
      </c>
      <c r="C26" s="27" t="inlineStr">
        <is>
          <t>route</t>
        </is>
      </c>
      <c r="D26" s="27" t="inlineStr">
        <is>
          <t>to</t>
        </is>
      </c>
      <c r="E26" s="27" t="inlineStr">
        <is>
          <t>1,1,1,3</t>
        </is>
      </c>
      <c r="F26" s="27" t="inlineStr">
        <is>
          <t>1,1,1,3</t>
        </is>
      </c>
      <c r="G26" s="27" t="n">
        <v>3</v>
      </c>
      <c r="H26" s="27" t="n">
        <v>3</v>
      </c>
      <c r="I26" s="27" t="inlineStr">
        <is>
          <t>|p3|</t>
        </is>
      </c>
      <c r="J26" s="27" t="inlineStr">
        <is>
          <t>seg.1.1.1.3</t>
        </is>
      </c>
      <c r="K26" s="27" t="inlineStr">
        <is>
          <t>de+ru+en</t>
        </is>
      </c>
      <c r="L26" s="27" t="inlineStr"/>
      <c r="M26" s="27" t="inlineStr">
        <is>
          <t>de+ru+en</t>
        </is>
      </c>
      <c r="N26" s="27" t="n">
        <v>1</v>
      </c>
      <c r="O26" s="27" t="n">
        <v>0</v>
      </c>
      <c r="P26" s="27" t="n">
        <v>0</v>
      </c>
      <c r="Q26" s="27" t="n">
        <v>1</v>
      </c>
      <c r="R26" s="27" t="n">
        <v>1</v>
      </c>
      <c r="S26" s="27" t="inlineStr">
        <is>
          <t>st.p3.sun_would_grow_sated_without_triad</t>
        </is>
      </c>
      <c r="T26" s="27" t="n">
        <v>0</v>
      </c>
      <c r="U26" s="27" t="inlineStr"/>
      <c r="V26" s="27" t="n">
        <v>0</v>
      </c>
      <c r="W26" s="27" t="inlineStr"/>
      <c r="X26" s="27" t="inlineStr">
        <is>
          <t>local_chain</t>
        </is>
      </c>
      <c r="Y26" s="27" t="inlineStr">
        <is>
          <t>source_linked</t>
        </is>
      </c>
      <c r="Z26" s="27" t="inlineStr"/>
      <c r="AA26" s="27" t="inlineStr">
        <is>
          <t>m024</t>
        </is>
      </c>
    </row>
    <row r="27">
      <c r="A27" s="27" t="inlineStr">
        <is>
          <t>n.serpent</t>
        </is>
      </c>
      <c r="B27" s="27" t="inlineStr">
        <is>
          <t>змея</t>
        </is>
      </c>
      <c r="C27" s="27" t="inlineStr">
        <is>
          <t>animal-symbol</t>
        </is>
      </c>
      <c r="D27" s="27" t="inlineStr">
        <is>
          <t>to</t>
        </is>
      </c>
      <c r="E27" s="27" t="inlineStr">
        <is>
          <t>1,1,1,3</t>
        </is>
      </c>
      <c r="F27" s="27" t="inlineStr">
        <is>
          <t>1,1,1,3</t>
        </is>
      </c>
      <c r="G27" s="27" t="n">
        <v>3</v>
      </c>
      <c r="H27" s="27" t="n">
        <v>3</v>
      </c>
      <c r="I27" s="27" t="inlineStr">
        <is>
          <t>|p3|</t>
        </is>
      </c>
      <c r="J27" s="27" t="inlineStr">
        <is>
          <t>seg.1.1.1.3</t>
        </is>
      </c>
      <c r="K27" s="27" t="inlineStr">
        <is>
          <t>de+ru+en</t>
        </is>
      </c>
      <c r="L27" s="27" t="inlineStr"/>
      <c r="M27" s="27" t="inlineStr">
        <is>
          <t>de+ru+en</t>
        </is>
      </c>
      <c r="N27" s="27" t="n">
        <v>1</v>
      </c>
      <c r="O27" s="27" t="n">
        <v>0</v>
      </c>
      <c r="P27" s="27" t="n">
        <v>0</v>
      </c>
      <c r="Q27" s="27" t="n">
        <v>1</v>
      </c>
      <c r="R27" s="27" t="n">
        <v>0</v>
      </c>
      <c r="S27" s="27" t="inlineStr"/>
      <c r="T27" s="27" t="n">
        <v>0</v>
      </c>
      <c r="U27" s="27" t="inlineStr"/>
      <c r="V27" s="27" t="n">
        <v>1</v>
      </c>
      <c r="W27" s="27" t="inlineStr">
        <is>
          <t>n.triad_zarathustra_eagle_serpent</t>
        </is>
      </c>
      <c r="X27" s="27" t="inlineStr">
        <is>
          <t>local_chain</t>
        </is>
      </c>
      <c r="Y27" s="27" t="inlineStr">
        <is>
          <t>source_linked</t>
        </is>
      </c>
      <c r="Z27" s="27" t="inlineStr"/>
      <c r="AA27" s="27" t="inlineStr">
        <is>
          <t>m028</t>
        </is>
      </c>
    </row>
    <row r="28">
      <c r="A28" s="27" t="inlineStr">
        <is>
          <t>n.triad_zarathustra_eagle_serpent</t>
        </is>
      </c>
      <c r="B28" s="27" t="inlineStr">
        <is>
          <t>Заратустра + орёл + змея</t>
        </is>
      </c>
      <c r="C28" s="27" t="inlineStr">
        <is>
          <t>collective_subject</t>
        </is>
      </c>
      <c r="D28" s="27" t="inlineStr">
        <is>
          <t>both</t>
        </is>
      </c>
      <c r="E28" s="27" t="inlineStr">
        <is>
          <t>1,1,1,3</t>
        </is>
      </c>
      <c r="F28" s="27" t="inlineStr">
        <is>
          <t>1,1,1,4</t>
        </is>
      </c>
      <c r="G28" s="27" t="n">
        <v>3</v>
      </c>
      <c r="H28" s="27" t="n">
        <v>4</v>
      </c>
      <c r="I28" s="27" t="inlineStr">
        <is>
          <t>|p3|p4|</t>
        </is>
      </c>
      <c r="J28" s="27" t="inlineStr">
        <is>
          <t>seg.1.1.1.3, seg.1.1.1.4</t>
        </is>
      </c>
      <c r="K28" s="27" t="inlineStr">
        <is>
          <t>de+ru+en</t>
        </is>
      </c>
      <c r="L28" s="27" t="inlineStr"/>
      <c r="M28" s="27" t="inlineStr">
        <is>
          <t>de+ru+en</t>
        </is>
      </c>
      <c r="N28" s="27" t="n">
        <v>7</v>
      </c>
      <c r="O28" s="27" t="n">
        <v>0</v>
      </c>
      <c r="P28" s="27" t="n">
        <v>0</v>
      </c>
      <c r="Q28" s="27" t="n">
        <v>7</v>
      </c>
      <c r="R28" s="27" t="n">
        <v>4</v>
      </c>
      <c r="S28" s="27" t="inlineStr">
        <is>
          <t>ev.p4.bless_sun_for_overflow, ev.p4.morning_wait_for_sun, ev.p4.receive_overflow_from_sun, st.p3.sun_would_grow_sated_without_triad</t>
        </is>
      </c>
      <c r="T28" s="27" t="n">
        <v>0</v>
      </c>
      <c r="U28" s="27" t="inlineStr"/>
      <c r="V28" s="27" t="n">
        <v>3</v>
      </c>
      <c r="W28" s="27" t="inlineStr">
        <is>
          <t>n.eagle, n.serpent, n.zarathustra</t>
        </is>
      </c>
      <c r="X28" s="27" t="inlineStr">
        <is>
          <t>local_chain</t>
        </is>
      </c>
      <c r="Y28" s="27" t="inlineStr">
        <is>
          <t>source_linked</t>
        </is>
      </c>
      <c r="Z28" s="27" t="inlineStr"/>
      <c r="AA28" s="27" t="inlineStr">
        <is>
          <t>m025, m026, m027, m028, m029, m032, m035</t>
        </is>
      </c>
    </row>
    <row r="29">
      <c r="A29" s="27" t="inlineStr">
        <is>
          <t>n.morning</t>
        </is>
      </c>
      <c r="B29" s="27" t="inlineStr">
        <is>
          <t>утро</t>
        </is>
      </c>
      <c r="C29" s="27" t="inlineStr">
        <is>
          <t>time</t>
        </is>
      </c>
      <c r="D29" s="27" t="inlineStr">
        <is>
          <t>to</t>
        </is>
      </c>
      <c r="E29" s="27" t="inlineStr">
        <is>
          <t>1,1,1,4</t>
        </is>
      </c>
      <c r="F29" s="27" t="inlineStr">
        <is>
          <t>1,1,1,4</t>
        </is>
      </c>
      <c r="G29" s="27" t="n">
        <v>4</v>
      </c>
      <c r="H29" s="27" t="n">
        <v>4</v>
      </c>
      <c r="I29" s="27" t="inlineStr">
        <is>
          <t>|p4|</t>
        </is>
      </c>
      <c r="J29" s="27" t="inlineStr">
        <is>
          <t>seg.1.1.1.4</t>
        </is>
      </c>
      <c r="K29" s="27" t="inlineStr">
        <is>
          <t>de+ru+en</t>
        </is>
      </c>
      <c r="L29" s="27" t="inlineStr"/>
      <c r="M29" s="27" t="inlineStr">
        <is>
          <t>de+ru+en</t>
        </is>
      </c>
      <c r="N29" s="27" t="n">
        <v>1</v>
      </c>
      <c r="O29" s="27" t="n">
        <v>0</v>
      </c>
      <c r="P29" s="27" t="n">
        <v>0</v>
      </c>
      <c r="Q29" s="27" t="n">
        <v>1</v>
      </c>
      <c r="R29" s="27" t="n">
        <v>1</v>
      </c>
      <c r="S29" s="27" t="inlineStr">
        <is>
          <t>ev.p4.morning_wait_for_sun</t>
        </is>
      </c>
      <c r="T29" s="27" t="n">
        <v>0</v>
      </c>
      <c r="U29" s="27" t="inlineStr"/>
      <c r="V29" s="27" t="n">
        <v>0</v>
      </c>
      <c r="W29" s="27" t="inlineStr"/>
      <c r="X29" s="27" t="inlineStr">
        <is>
          <t>local_chain</t>
        </is>
      </c>
      <c r="Y29" s="27" t="inlineStr">
        <is>
          <t>source_linked</t>
        </is>
      </c>
      <c r="Z29" s="27" t="inlineStr"/>
      <c r="AA29" s="27" t="inlineStr">
        <is>
          <t>m030</t>
        </is>
      </c>
    </row>
    <row r="30">
      <c r="A30" s="27" t="inlineStr">
        <is>
          <t>n.overflow</t>
        </is>
      </c>
      <c r="B30" s="27" t="inlineStr">
        <is>
          <t>избыток / overflow</t>
        </is>
      </c>
      <c r="C30" s="27" t="inlineStr">
        <is>
          <t>abundance</t>
        </is>
      </c>
      <c r="D30" s="27" t="inlineStr">
        <is>
          <t>to</t>
        </is>
      </c>
      <c r="E30" s="27" t="inlineStr">
        <is>
          <t>1,1,1,4</t>
        </is>
      </c>
      <c r="F30" s="27" t="inlineStr">
        <is>
          <t>1,1,1,10</t>
        </is>
      </c>
      <c r="G30" s="27" t="n">
        <v>4</v>
      </c>
      <c r="H30" s="27" t="n">
        <v>10</v>
      </c>
      <c r="I30" s="27" t="inlineStr">
        <is>
          <t>|p4|p10|</t>
        </is>
      </c>
      <c r="J30" s="27" t="inlineStr">
        <is>
          <t>seg.1.1.1.10, seg.1.1.1.4</t>
        </is>
      </c>
      <c r="K30" s="27" t="inlineStr">
        <is>
          <t>de+ru+en</t>
        </is>
      </c>
      <c r="L30" s="27" t="inlineStr"/>
      <c r="M30" s="27" t="inlineStr">
        <is>
          <t>de+ru+en</t>
        </is>
      </c>
      <c r="N30" s="27" t="n">
        <v>3</v>
      </c>
      <c r="O30" s="27" t="n">
        <v>0</v>
      </c>
      <c r="P30" s="27" t="n">
        <v>0</v>
      </c>
      <c r="Q30" s="27" t="n">
        <v>3</v>
      </c>
      <c r="R30" s="27" t="n">
        <v>3</v>
      </c>
      <c r="S30" s="27" t="inlineStr">
        <is>
          <t>ev.p4.bless_sun_for_overflow, ev.p4.receive_overflow_from_sun, st.p10.cup_wants_to_overflow</t>
        </is>
      </c>
      <c r="T30" s="27" t="n">
        <v>0</v>
      </c>
      <c r="U30" s="27" t="inlineStr"/>
      <c r="V30" s="27" t="n">
        <v>0</v>
      </c>
      <c r="W30" s="27" t="inlineStr"/>
      <c r="X30" s="27" t="inlineStr">
        <is>
          <t>local_chain</t>
        </is>
      </c>
      <c r="Y30" s="27" t="inlineStr">
        <is>
          <t>source_linked</t>
        </is>
      </c>
      <c r="Z30" s="27" t="inlineStr"/>
      <c r="AA30" s="27" t="inlineStr">
        <is>
          <t>m033, m037, m088</t>
        </is>
      </c>
    </row>
    <row r="31">
      <c r="A31" s="27" t="inlineStr">
        <is>
          <t>n.bee</t>
        </is>
      </c>
      <c r="B31" s="27" t="inlineStr">
        <is>
          <t>пчела</t>
        </is>
      </c>
      <c r="C31" s="27" t="inlineStr">
        <is>
          <t>analogy-animal</t>
        </is>
      </c>
      <c r="D31" s="27" t="inlineStr">
        <is>
          <t>both</t>
        </is>
      </c>
      <c r="E31" s="27" t="inlineStr">
        <is>
          <t>1,1,1,5</t>
        </is>
      </c>
      <c r="F31" s="27" t="inlineStr">
        <is>
          <t>1,1,1,5</t>
        </is>
      </c>
      <c r="G31" s="27" t="n">
        <v>5</v>
      </c>
      <c r="H31" s="27" t="n">
        <v>5</v>
      </c>
      <c r="I31" s="27" t="inlineStr">
        <is>
          <t>|p5|</t>
        </is>
      </c>
      <c r="J31" s="27" t="inlineStr">
        <is>
          <t>seg.1.1.1.5</t>
        </is>
      </c>
      <c r="K31" s="27" t="inlineStr">
        <is>
          <t>de+ru+en</t>
        </is>
      </c>
      <c r="L31" s="27" t="inlineStr"/>
      <c r="M31" s="27" t="inlineStr">
        <is>
          <t>de+ru+en</t>
        </is>
      </c>
      <c r="N31" s="27" t="n">
        <v>2</v>
      </c>
      <c r="O31" s="27" t="n">
        <v>0</v>
      </c>
      <c r="P31" s="27" t="n">
        <v>0</v>
      </c>
      <c r="Q31" s="27" t="n">
        <v>2</v>
      </c>
      <c r="R31" s="27" t="n">
        <v>1</v>
      </c>
      <c r="S31" s="27" t="inlineStr">
        <is>
          <t>ev.p5.bee_honey_analogy</t>
        </is>
      </c>
      <c r="T31" s="27" t="n">
        <v>0</v>
      </c>
      <c r="U31" s="27" t="inlineStr"/>
      <c r="V31" s="27" t="n">
        <v>1</v>
      </c>
      <c r="W31" s="27" t="inlineStr">
        <is>
          <t>n.honey</t>
        </is>
      </c>
      <c r="X31" s="27" t="inlineStr">
        <is>
          <t>local_chain</t>
        </is>
      </c>
      <c r="Y31" s="27" t="inlineStr">
        <is>
          <t>source_linked</t>
        </is>
      </c>
      <c r="Z31" s="27" t="inlineStr"/>
      <c r="AA31" s="27" t="inlineStr">
        <is>
          <t>m042, m043</t>
        </is>
      </c>
    </row>
    <row r="32">
      <c r="A32" s="27" t="inlineStr">
        <is>
          <t>n.honey</t>
        </is>
      </c>
      <c r="B32" s="27" t="inlineStr">
        <is>
          <t>мёд</t>
        </is>
      </c>
      <c r="C32" s="27" t="inlineStr">
        <is>
          <t>substance</t>
        </is>
      </c>
      <c r="D32" s="27" t="inlineStr">
        <is>
          <t>both</t>
        </is>
      </c>
      <c r="E32" s="27" t="inlineStr">
        <is>
          <t>1,1,1,5</t>
        </is>
      </c>
      <c r="F32" s="27" t="inlineStr">
        <is>
          <t>1,1,1,5</t>
        </is>
      </c>
      <c r="G32" s="27" t="n">
        <v>5</v>
      </c>
      <c r="H32" s="27" t="n">
        <v>5</v>
      </c>
      <c r="I32" s="27" t="inlineStr">
        <is>
          <t>|p5|</t>
        </is>
      </c>
      <c r="J32" s="27" t="inlineStr">
        <is>
          <t>seg.1.1.1.5</t>
        </is>
      </c>
      <c r="K32" s="27" t="inlineStr">
        <is>
          <t>de+ru+en</t>
        </is>
      </c>
      <c r="L32" s="27" t="inlineStr"/>
      <c r="M32" s="27" t="inlineStr">
        <is>
          <t>de+ru+en</t>
        </is>
      </c>
      <c r="N32" s="27" t="n">
        <v>2</v>
      </c>
      <c r="O32" s="27" t="n">
        <v>0</v>
      </c>
      <c r="P32" s="27" t="n">
        <v>0</v>
      </c>
      <c r="Q32" s="27" t="n">
        <v>2</v>
      </c>
      <c r="R32" s="27" t="n">
        <v>0</v>
      </c>
      <c r="S32" s="27" t="inlineStr"/>
      <c r="T32" s="27" t="n">
        <v>0</v>
      </c>
      <c r="U32" s="27" t="inlineStr"/>
      <c r="V32" s="27" t="n">
        <v>1</v>
      </c>
      <c r="W32" s="27" t="inlineStr">
        <is>
          <t>n.bee</t>
        </is>
      </c>
      <c r="X32" s="27" t="inlineStr">
        <is>
          <t>local_chain</t>
        </is>
      </c>
      <c r="Y32" s="27" t="inlineStr">
        <is>
          <t>source_linked</t>
        </is>
      </c>
      <c r="Z32" s="27" t="inlineStr"/>
      <c r="AA32" s="27" t="inlineStr">
        <is>
          <t>m043, m044</t>
        </is>
      </c>
    </row>
    <row r="33">
      <c r="A33" s="27" t="inlineStr">
        <is>
          <t>n.outstretched_hands</t>
        </is>
      </c>
      <c r="B33" s="27" t="inlineStr">
        <is>
          <t>простёртые руки</t>
        </is>
      </c>
      <c r="C33" s="27" t="inlineStr">
        <is>
          <t>recipient-interface</t>
        </is>
      </c>
      <c r="D33" s="27" t="inlineStr">
        <is>
          <t>to</t>
        </is>
      </c>
      <c r="E33" s="27" t="inlineStr">
        <is>
          <t>1,1,1,5</t>
        </is>
      </c>
      <c r="F33" s="27" t="inlineStr">
        <is>
          <t>1,1,1,6</t>
        </is>
      </c>
      <c r="G33" s="27" t="n">
        <v>5</v>
      </c>
      <c r="H33" s="27" t="n">
        <v>6</v>
      </c>
      <c r="I33" s="27" t="inlineStr">
        <is>
          <t>|p5|p6|</t>
        </is>
      </c>
      <c r="J33" s="27" t="inlineStr">
        <is>
          <t>seg.1.1.1.5, seg.1.1.1.6</t>
        </is>
      </c>
      <c r="K33" s="27" t="inlineStr">
        <is>
          <t>de+ru+en</t>
        </is>
      </c>
      <c r="L33" s="27" t="inlineStr"/>
      <c r="M33" s="27" t="inlineStr">
        <is>
          <t>de+ru+en</t>
        </is>
      </c>
      <c r="N33" s="27" t="n">
        <v>1</v>
      </c>
      <c r="O33" s="27" t="n">
        <v>0</v>
      </c>
      <c r="P33" s="27" t="n">
        <v>0</v>
      </c>
      <c r="Q33" s="27" t="n">
        <v>1</v>
      </c>
      <c r="R33" s="27" t="n">
        <v>1</v>
      </c>
      <c r="S33" s="27" t="inlineStr">
        <is>
          <t>ev.p5_6.need_hands_for_giving</t>
        </is>
      </c>
      <c r="T33" s="27" t="n">
        <v>0</v>
      </c>
      <c r="U33" s="27" t="inlineStr"/>
      <c r="V33" s="27" t="n">
        <v>0</v>
      </c>
      <c r="W33" s="27" t="inlineStr"/>
      <c r="X33" s="27" t="inlineStr">
        <is>
          <t>multi_anchor</t>
        </is>
      </c>
      <c r="Y33" s="27" t="inlineStr">
        <is>
          <t>source_linked</t>
        </is>
      </c>
      <c r="Z33" s="27" t="inlineStr"/>
      <c r="AA33" s="27" t="inlineStr">
        <is>
          <t>m047</t>
        </is>
      </c>
    </row>
    <row r="34">
      <c r="A34" s="27" t="inlineStr">
        <is>
          <t>n.wisdom</t>
        </is>
      </c>
      <c r="B34" s="27" t="inlineStr">
        <is>
          <t>мудрость</t>
        </is>
      </c>
      <c r="C34" s="27" t="inlineStr">
        <is>
          <t>concept</t>
        </is>
      </c>
      <c r="D34" s="27" t="inlineStr">
        <is>
          <t>to</t>
        </is>
      </c>
      <c r="E34" s="27" t="inlineStr">
        <is>
          <t>1,1,1,5</t>
        </is>
      </c>
      <c r="F34" s="27" t="inlineStr">
        <is>
          <t>1,1,1,5</t>
        </is>
      </c>
      <c r="G34" s="27" t="n">
        <v>5</v>
      </c>
      <c r="H34" s="27" t="n">
        <v>5</v>
      </c>
      <c r="I34" s="27" t="inlineStr">
        <is>
          <t>|p5|</t>
        </is>
      </c>
      <c r="J34" s="27" t="inlineStr">
        <is>
          <t>seg.1.1.1.5</t>
        </is>
      </c>
      <c r="K34" s="27" t="inlineStr">
        <is>
          <t>de+ru+en</t>
        </is>
      </c>
      <c r="L34" s="27" t="inlineStr"/>
      <c r="M34" s="27" t="inlineStr">
        <is>
          <t>de+ru+en</t>
        </is>
      </c>
      <c r="N34" s="27" t="n">
        <v>1</v>
      </c>
      <c r="O34" s="27" t="n">
        <v>0</v>
      </c>
      <c r="P34" s="27" t="n">
        <v>0</v>
      </c>
      <c r="Q34" s="27" t="n">
        <v>1</v>
      </c>
      <c r="R34" s="27" t="n">
        <v>1</v>
      </c>
      <c r="S34" s="27" t="inlineStr">
        <is>
          <t>st.p5.overfull_wisdom</t>
        </is>
      </c>
      <c r="T34" s="27" t="n">
        <v>0</v>
      </c>
      <c r="U34" s="27" t="inlineStr"/>
      <c r="V34" s="27" t="n">
        <v>0</v>
      </c>
      <c r="W34" s="27" t="inlineStr"/>
      <c r="X34" s="27" t="inlineStr">
        <is>
          <t>local_chain</t>
        </is>
      </c>
      <c r="Y34" s="27" t="inlineStr">
        <is>
          <t>source_linked</t>
        </is>
      </c>
      <c r="Z34" s="27" t="inlineStr"/>
      <c r="AA34" s="27" t="inlineStr">
        <is>
          <t>m040</t>
        </is>
      </c>
    </row>
    <row r="35">
      <c r="A35" s="27" t="inlineStr">
        <is>
          <t>n.bestowal</t>
        </is>
      </c>
      <c r="B35" s="27" t="inlineStr">
        <is>
          <t>одаривание</t>
        </is>
      </c>
      <c r="C35" s="27" t="inlineStr">
        <is>
          <t>act-mode</t>
        </is>
      </c>
      <c r="D35" s="27" t="inlineStr">
        <is>
          <t>to</t>
        </is>
      </c>
      <c r="E35" s="27" t="inlineStr">
        <is>
          <t>1,1,1,6</t>
        </is>
      </c>
      <c r="F35" s="27" t="inlineStr">
        <is>
          <t>1,1,1,6</t>
        </is>
      </c>
      <c r="G35" s="27" t="n">
        <v>6</v>
      </c>
      <c r="H35" s="27" t="n">
        <v>6</v>
      </c>
      <c r="I35" s="27" t="inlineStr">
        <is>
          <t>|p6|</t>
        </is>
      </c>
      <c r="J35" s="27" t="inlineStr">
        <is>
          <t>seg.1.1.1.6</t>
        </is>
      </c>
      <c r="K35" s="27" t="inlineStr">
        <is>
          <t>de+ru+en</t>
        </is>
      </c>
      <c r="L35" s="27" t="inlineStr"/>
      <c r="M35" s="27" t="inlineStr">
        <is>
          <t>de+ru+en</t>
        </is>
      </c>
      <c r="N35" s="27" t="n">
        <v>1</v>
      </c>
      <c r="O35" s="27" t="n">
        <v>0</v>
      </c>
      <c r="P35" s="27" t="n">
        <v>0</v>
      </c>
      <c r="Q35" s="27" t="n">
        <v>1</v>
      </c>
      <c r="R35" s="27" t="n">
        <v>1</v>
      </c>
      <c r="S35" s="27" t="inlineStr">
        <is>
          <t>ev.p6.bestow_and_distribute</t>
        </is>
      </c>
      <c r="T35" s="27" t="n">
        <v>0</v>
      </c>
      <c r="U35" s="27" t="inlineStr"/>
      <c r="V35" s="27" t="n">
        <v>0</v>
      </c>
      <c r="W35" s="27" t="inlineStr"/>
      <c r="X35" s="27" t="inlineStr">
        <is>
          <t>local_chain</t>
        </is>
      </c>
      <c r="Y35" s="27" t="inlineStr">
        <is>
          <t>source_linked</t>
        </is>
      </c>
      <c r="Z35" s="27" t="inlineStr"/>
      <c r="AA35" s="27" t="inlineStr">
        <is>
          <t>m050</t>
        </is>
      </c>
    </row>
    <row r="36">
      <c r="A36" s="27" t="inlineStr">
        <is>
          <t>n.distribution</t>
        </is>
      </c>
      <c r="B36" s="27" t="inlineStr">
        <is>
          <t>раздача</t>
        </is>
      </c>
      <c r="C36" s="27" t="inlineStr">
        <is>
          <t>act-mode</t>
        </is>
      </c>
      <c r="D36" s="27" t="inlineStr">
        <is>
          <t>to</t>
        </is>
      </c>
      <c r="E36" s="27" t="inlineStr">
        <is>
          <t>1,1,1,6</t>
        </is>
      </c>
      <c r="F36" s="27" t="inlineStr">
        <is>
          <t>1,1,1,6</t>
        </is>
      </c>
      <c r="G36" s="27" t="n">
        <v>6</v>
      </c>
      <c r="H36" s="27" t="n">
        <v>6</v>
      </c>
      <c r="I36" s="27" t="inlineStr">
        <is>
          <t>|p6|</t>
        </is>
      </c>
      <c r="J36" s="27" t="inlineStr">
        <is>
          <t>seg.1.1.1.6</t>
        </is>
      </c>
      <c r="K36" s="27" t="inlineStr">
        <is>
          <t>de+ru+en</t>
        </is>
      </c>
      <c r="L36" s="27" t="inlineStr"/>
      <c r="M36" s="27" t="inlineStr">
        <is>
          <t>de+ru+en</t>
        </is>
      </c>
      <c r="N36" s="27" t="n">
        <v>1</v>
      </c>
      <c r="O36" s="27" t="n">
        <v>0</v>
      </c>
      <c r="P36" s="27" t="n">
        <v>0</v>
      </c>
      <c r="Q36" s="27" t="n">
        <v>1</v>
      </c>
      <c r="R36" s="27" t="n">
        <v>1</v>
      </c>
      <c r="S36" s="27" t="inlineStr">
        <is>
          <t>ev.p6.bestow_and_distribute</t>
        </is>
      </c>
      <c r="T36" s="27" t="n">
        <v>0</v>
      </c>
      <c r="U36" s="27" t="inlineStr"/>
      <c r="V36" s="27" t="n">
        <v>0</v>
      </c>
      <c r="W36" s="27" t="inlineStr"/>
      <c r="X36" s="27" t="inlineStr">
        <is>
          <t>local_chain</t>
        </is>
      </c>
      <c r="Y36" s="27" t="inlineStr">
        <is>
          <t>source_linked</t>
        </is>
      </c>
      <c r="Z36" s="27" t="inlineStr"/>
      <c r="AA36" s="27" t="inlineStr">
        <is>
          <t>m051</t>
        </is>
      </c>
    </row>
    <row r="37">
      <c r="A37" s="27" t="inlineStr">
        <is>
          <t>n.folly</t>
        </is>
      </c>
      <c r="B37" s="27" t="inlineStr">
        <is>
          <t>глупость / Thorheit</t>
        </is>
      </c>
      <c r="C37" s="27" t="inlineStr">
        <is>
          <t>concept-tension</t>
        </is>
      </c>
      <c r="D37" s="27" t="inlineStr">
        <is>
          <t>to</t>
        </is>
      </c>
      <c r="E37" s="27" t="inlineStr">
        <is>
          <t>1,1,1,6</t>
        </is>
      </c>
      <c r="F37" s="27" t="inlineStr">
        <is>
          <t>1,1,1,6</t>
        </is>
      </c>
      <c r="G37" s="27" t="n">
        <v>6</v>
      </c>
      <c r="H37" s="27" t="n">
        <v>6</v>
      </c>
      <c r="I37" s="27" t="inlineStr">
        <is>
          <t>|p6|</t>
        </is>
      </c>
      <c r="J37" s="27" t="inlineStr">
        <is>
          <t>seg.1.1.1.6</t>
        </is>
      </c>
      <c r="K37" s="27" t="inlineStr">
        <is>
          <t>de+ru+en</t>
        </is>
      </c>
      <c r="L37" s="27" t="inlineStr"/>
      <c r="M37" s="27" t="inlineStr">
        <is>
          <t>de+ru+en</t>
        </is>
      </c>
      <c r="N37" s="27" t="n">
        <v>1</v>
      </c>
      <c r="O37" s="27" t="n">
        <v>0</v>
      </c>
      <c r="P37" s="27" t="n">
        <v>0</v>
      </c>
      <c r="Q37" s="27" t="n">
        <v>1</v>
      </c>
      <c r="R37" s="27" t="n">
        <v>0</v>
      </c>
      <c r="S37" s="27" t="inlineStr"/>
      <c r="T37" s="27" t="n">
        <v>0</v>
      </c>
      <c r="U37" s="27" t="inlineStr"/>
      <c r="V37" s="27" t="n">
        <v>1</v>
      </c>
      <c r="W37" s="27" t="inlineStr">
        <is>
          <t>n.wise_among_humans</t>
        </is>
      </c>
      <c r="X37" s="27" t="inlineStr">
        <is>
          <t>local_chain</t>
        </is>
      </c>
      <c r="Y37" s="27" t="inlineStr">
        <is>
          <t>source_linked</t>
        </is>
      </c>
      <c r="Z37" s="27" t="inlineStr"/>
      <c r="AA37" s="27" t="inlineStr">
        <is>
          <t>m056</t>
        </is>
      </c>
    </row>
    <row r="38">
      <c r="A38" s="27" t="inlineStr">
        <is>
          <t>n.humans</t>
        </is>
      </c>
      <c r="B38" s="27" t="inlineStr">
        <is>
          <t>люди</t>
        </is>
      </c>
      <c r="C38" s="27" t="inlineStr">
        <is>
          <t>relational_group</t>
        </is>
      </c>
      <c r="D38" s="27" t="inlineStr">
        <is>
          <t>both</t>
        </is>
      </c>
      <c r="E38" s="27" t="inlineStr">
        <is>
          <t>1,1,1,6</t>
        </is>
      </c>
      <c r="F38" s="27" t="inlineStr">
        <is>
          <t>1,1,1,8</t>
        </is>
      </c>
      <c r="G38" s="27" t="n">
        <v>6</v>
      </c>
      <c r="H38" s="27" t="n">
        <v>8</v>
      </c>
      <c r="I38" s="27" t="inlineStr">
        <is>
          <t>|p6|p8|</t>
        </is>
      </c>
      <c r="J38" s="27" t="inlineStr">
        <is>
          <t>seg.1.1.1.6, seg.1.1.1.8</t>
        </is>
      </c>
      <c r="K38" s="27" t="inlineStr">
        <is>
          <t>de+ru+en</t>
        </is>
      </c>
      <c r="L38" s="27" t="inlineStr"/>
      <c r="M38" s="27" t="inlineStr">
        <is>
          <t>de+ru+en</t>
        </is>
      </c>
      <c r="N38" s="27" t="n">
        <v>5</v>
      </c>
      <c r="O38" s="27" t="n">
        <v>0</v>
      </c>
      <c r="P38" s="27" t="n">
        <v>0</v>
      </c>
      <c r="Q38" s="27" t="n">
        <v>5</v>
      </c>
      <c r="R38" s="27" t="n">
        <v>2</v>
      </c>
      <c r="S38" s="27" t="inlineStr">
        <is>
          <t>ev.p6.bestow_and_distribute, ev.p8.go_under_to_humans</t>
        </is>
      </c>
      <c r="T38" s="27" t="n">
        <v>0</v>
      </c>
      <c r="U38" s="27" t="inlineStr"/>
      <c r="V38" s="27" t="n">
        <v>3</v>
      </c>
      <c r="W38" s="27" t="inlineStr">
        <is>
          <t>n.go_under, n.poor_among_humans, n.wise_among_humans</t>
        </is>
      </c>
      <c r="X38" s="27" t="inlineStr">
        <is>
          <t>local_chain</t>
        </is>
      </c>
      <c r="Y38" s="27" t="inlineStr">
        <is>
          <t>source_linked</t>
        </is>
      </c>
      <c r="Z38" s="27" t="inlineStr">
        <is>
          <t>человеческое имя для нисхождения</t>
        </is>
      </c>
      <c r="AA38" s="27" t="inlineStr">
        <is>
          <t>m052, m055, m058, m071, m073</t>
        </is>
      </c>
    </row>
    <row r="39">
      <c r="A39" s="27" t="inlineStr">
        <is>
          <t>n.poor_among_humans</t>
        </is>
      </c>
      <c r="B39" s="27" t="inlineStr">
        <is>
          <t>бедные среди людей</t>
        </is>
      </c>
      <c r="C39" s="27" t="inlineStr">
        <is>
          <t>subgroup</t>
        </is>
      </c>
      <c r="D39" s="27" t="inlineStr">
        <is>
          <t>both</t>
        </is>
      </c>
      <c r="E39" s="27" t="inlineStr">
        <is>
          <t>1,1,1,6</t>
        </is>
      </c>
      <c r="F39" s="27" t="inlineStr">
        <is>
          <t>1,1,1,6</t>
        </is>
      </c>
      <c r="G39" s="27" t="n">
        <v>6</v>
      </c>
      <c r="H39" s="27" t="n">
        <v>6</v>
      </c>
      <c r="I39" s="27" t="inlineStr">
        <is>
          <t>|p6|</t>
        </is>
      </c>
      <c r="J39" s="27" t="inlineStr">
        <is>
          <t>seg.1.1.1.6</t>
        </is>
      </c>
      <c r="K39" s="27" t="inlineStr">
        <is>
          <t>de+ru+en</t>
        </is>
      </c>
      <c r="L39" s="27" t="inlineStr"/>
      <c r="M39" s="27" t="inlineStr">
        <is>
          <t>de+ru+en</t>
        </is>
      </c>
      <c r="N39" s="27" t="n">
        <v>3</v>
      </c>
      <c r="O39" s="27" t="n">
        <v>0</v>
      </c>
      <c r="P39" s="27" t="n">
        <v>0</v>
      </c>
      <c r="Q39" s="27" t="n">
        <v>3</v>
      </c>
      <c r="R39" s="27" t="n">
        <v>1</v>
      </c>
      <c r="S39" s="27" t="inlineStr">
        <is>
          <t>st.p6.revaluation_of_joy</t>
        </is>
      </c>
      <c r="T39" s="27" t="n">
        <v>0</v>
      </c>
      <c r="U39" s="27" t="inlineStr"/>
      <c r="V39" s="27" t="n">
        <v>2</v>
      </c>
      <c r="W39" s="27" t="inlineStr">
        <is>
          <t>n.humans, n.wealth</t>
        </is>
      </c>
      <c r="X39" s="27" t="inlineStr">
        <is>
          <t>local_chain</t>
        </is>
      </c>
      <c r="Y39" s="27" t="inlineStr">
        <is>
          <t>source_linked</t>
        </is>
      </c>
      <c r="Z39" s="27" t="inlineStr"/>
      <c r="AA39" s="27" t="inlineStr">
        <is>
          <t>m057, m058, m059</t>
        </is>
      </c>
    </row>
    <row r="40">
      <c r="A40" s="27" t="inlineStr">
        <is>
          <t>n.wealth</t>
        </is>
      </c>
      <c r="B40" s="27" t="inlineStr">
        <is>
          <t>богатство</t>
        </is>
      </c>
      <c r="C40" s="27" t="inlineStr">
        <is>
          <t>concept</t>
        </is>
      </c>
      <c r="D40" s="27" t="inlineStr">
        <is>
          <t>to</t>
        </is>
      </c>
      <c r="E40" s="27" t="inlineStr">
        <is>
          <t>1,1,1,6</t>
        </is>
      </c>
      <c r="F40" s="27" t="inlineStr">
        <is>
          <t>1,1,1,6</t>
        </is>
      </c>
      <c r="G40" s="27" t="n">
        <v>6</v>
      </c>
      <c r="H40" s="27" t="n">
        <v>6</v>
      </c>
      <c r="I40" s="27" t="inlineStr">
        <is>
          <t>|p6|</t>
        </is>
      </c>
      <c r="J40" s="27" t="inlineStr">
        <is>
          <t>seg.1.1.1.6</t>
        </is>
      </c>
      <c r="K40" s="27" t="inlineStr">
        <is>
          <t>de+ru+en</t>
        </is>
      </c>
      <c r="L40" s="27" t="inlineStr"/>
      <c r="M40" s="27" t="inlineStr">
        <is>
          <t>de+ru+en</t>
        </is>
      </c>
      <c r="N40" s="27" t="n">
        <v>1</v>
      </c>
      <c r="O40" s="27" t="n">
        <v>0</v>
      </c>
      <c r="P40" s="27" t="n">
        <v>0</v>
      </c>
      <c r="Q40" s="27" t="n">
        <v>1</v>
      </c>
      <c r="R40" s="27" t="n">
        <v>0</v>
      </c>
      <c r="S40" s="27" t="inlineStr"/>
      <c r="T40" s="27" t="n">
        <v>0</v>
      </c>
      <c r="U40" s="27" t="inlineStr"/>
      <c r="V40" s="27" t="n">
        <v>1</v>
      </c>
      <c r="W40" s="27" t="inlineStr">
        <is>
          <t>n.poor_among_humans</t>
        </is>
      </c>
      <c r="X40" s="27" t="inlineStr">
        <is>
          <t>local_chain</t>
        </is>
      </c>
      <c r="Y40" s="27" t="inlineStr">
        <is>
          <t>source_linked</t>
        </is>
      </c>
      <c r="Z40" s="27" t="inlineStr"/>
      <c r="AA40" s="27" t="inlineStr">
        <is>
          <t>m059</t>
        </is>
      </c>
    </row>
    <row r="41">
      <c r="A41" s="27" t="inlineStr">
        <is>
          <t>n.wise_among_humans</t>
        </is>
      </c>
      <c r="B41" s="27" t="inlineStr">
        <is>
          <t>мудрые среди людей</t>
        </is>
      </c>
      <c r="C41" s="27" t="inlineStr">
        <is>
          <t>subgroup</t>
        </is>
      </c>
      <c r="D41" s="27" t="inlineStr">
        <is>
          <t>both</t>
        </is>
      </c>
      <c r="E41" s="27" t="inlineStr">
        <is>
          <t>1,1,1,6</t>
        </is>
      </c>
      <c r="F41" s="27" t="inlineStr">
        <is>
          <t>1,1,1,6</t>
        </is>
      </c>
      <c r="G41" s="27" t="n">
        <v>6</v>
      </c>
      <c r="H41" s="27" t="n">
        <v>6</v>
      </c>
      <c r="I41" s="27" t="inlineStr">
        <is>
          <t>|p6|</t>
        </is>
      </c>
      <c r="J41" s="27" t="inlineStr">
        <is>
          <t>seg.1.1.1.6</t>
        </is>
      </c>
      <c r="K41" s="27" t="inlineStr">
        <is>
          <t>de+ru+en</t>
        </is>
      </c>
      <c r="L41" s="27" t="inlineStr"/>
      <c r="M41" s="27" t="inlineStr">
        <is>
          <t>de+ru+en</t>
        </is>
      </c>
      <c r="N41" s="27" t="n">
        <v>3</v>
      </c>
      <c r="O41" s="27" t="n">
        <v>0</v>
      </c>
      <c r="P41" s="27" t="n">
        <v>0</v>
      </c>
      <c r="Q41" s="27" t="n">
        <v>3</v>
      </c>
      <c r="R41" s="27" t="n">
        <v>1</v>
      </c>
      <c r="S41" s="27" t="inlineStr">
        <is>
          <t>st.p6.revaluation_of_joy</t>
        </is>
      </c>
      <c r="T41" s="27" t="n">
        <v>0</v>
      </c>
      <c r="U41" s="27" t="inlineStr"/>
      <c r="V41" s="27" t="n">
        <v>2</v>
      </c>
      <c r="W41" s="27" t="inlineStr">
        <is>
          <t>n.folly, n.humans</t>
        </is>
      </c>
      <c r="X41" s="27" t="inlineStr">
        <is>
          <t>local_chain</t>
        </is>
      </c>
      <c r="Y41" s="27" t="inlineStr">
        <is>
          <t>source_linked</t>
        </is>
      </c>
      <c r="Z41" s="27" t="inlineStr"/>
      <c r="AA41" s="27" t="inlineStr">
        <is>
          <t>m054, m055, m056</t>
        </is>
      </c>
    </row>
    <row r="42">
      <c r="A42" s="27" t="inlineStr">
        <is>
          <t>n.depth</t>
        </is>
      </c>
      <c r="B42" s="27" t="inlineStr">
        <is>
          <t>глубина</t>
        </is>
      </c>
      <c r="C42" s="27" t="inlineStr">
        <is>
          <t>destination-symbol</t>
        </is>
      </c>
      <c r="D42" s="27" t="inlineStr">
        <is>
          <t>to</t>
        </is>
      </c>
      <c r="E42" s="27" t="inlineStr">
        <is>
          <t>1,1,1,7</t>
        </is>
      </c>
      <c r="F42" s="27" t="inlineStr">
        <is>
          <t>1,1,1,7</t>
        </is>
      </c>
      <c r="G42" s="27" t="n">
        <v>7</v>
      </c>
      <c r="H42" s="27" t="n">
        <v>7</v>
      </c>
      <c r="I42" s="27" t="inlineStr">
        <is>
          <t>|p7|</t>
        </is>
      </c>
      <c r="J42" s="27" t="inlineStr">
        <is>
          <t>seg.1.1.1.7</t>
        </is>
      </c>
      <c r="K42" s="27" t="inlineStr">
        <is>
          <t>de+ru+en</t>
        </is>
      </c>
      <c r="L42" s="27" t="inlineStr"/>
      <c r="M42" s="27" t="inlineStr">
        <is>
          <t>de+ru+en</t>
        </is>
      </c>
      <c r="N42" s="27" t="n">
        <v>1</v>
      </c>
      <c r="O42" s="27" t="n">
        <v>0</v>
      </c>
      <c r="P42" s="27" t="n">
        <v>0</v>
      </c>
      <c r="Q42" s="27" t="n">
        <v>1</v>
      </c>
      <c r="R42" s="27" t="n">
        <v>1</v>
      </c>
      <c r="S42" s="27" t="inlineStr">
        <is>
          <t>ev.p7.descend_into_depth</t>
        </is>
      </c>
      <c r="T42" s="27" t="n">
        <v>0</v>
      </c>
      <c r="U42" s="27" t="inlineStr"/>
      <c r="V42" s="27" t="n">
        <v>0</v>
      </c>
      <c r="W42" s="27" t="inlineStr"/>
      <c r="X42" s="27" t="inlineStr">
        <is>
          <t>local_chain</t>
        </is>
      </c>
      <c r="Y42" s="27" t="inlineStr">
        <is>
          <t>source_linked</t>
        </is>
      </c>
      <c r="Z42" s="27" t="inlineStr"/>
      <c r="AA42" s="27" t="inlineStr">
        <is>
          <t>m062</t>
        </is>
      </c>
    </row>
    <row r="43">
      <c r="A43" s="27" t="inlineStr">
        <is>
          <t>n.evening</t>
        </is>
      </c>
      <c r="B43" s="27" t="inlineStr">
        <is>
          <t>вечер</t>
        </is>
      </c>
      <c r="C43" s="27" t="inlineStr">
        <is>
          <t>time-symbol</t>
        </is>
      </c>
      <c r="D43" s="27" t="inlineStr">
        <is>
          <t>to</t>
        </is>
      </c>
      <c r="E43" s="27" t="inlineStr">
        <is>
          <t>1,1,1,7</t>
        </is>
      </c>
      <c r="F43" s="27" t="inlineStr">
        <is>
          <t>1,1,1,7</t>
        </is>
      </c>
      <c r="G43" s="27" t="n">
        <v>7</v>
      </c>
      <c r="H43" s="27" t="n">
        <v>7</v>
      </c>
      <c r="I43" s="27" t="inlineStr">
        <is>
          <t>|p7|</t>
        </is>
      </c>
      <c r="J43" s="27" t="inlineStr">
        <is>
          <t>seg.1.1.1.7</t>
        </is>
      </c>
      <c r="K43" s="27" t="inlineStr">
        <is>
          <t>de+ru+en</t>
        </is>
      </c>
      <c r="L43" s="27" t="inlineStr"/>
      <c r="M43" s="27" t="inlineStr">
        <is>
          <t>de+ru+en</t>
        </is>
      </c>
      <c r="N43" s="27" t="n">
        <v>1</v>
      </c>
      <c r="O43" s="27" t="n">
        <v>0</v>
      </c>
      <c r="P43" s="27" t="n">
        <v>0</v>
      </c>
      <c r="Q43" s="27" t="n">
        <v>1</v>
      </c>
      <c r="R43" s="27" t="n">
        <v>1</v>
      </c>
      <c r="S43" s="27" t="inlineStr">
        <is>
          <t>ev.p7.sun_evening_underworld_light</t>
        </is>
      </c>
      <c r="T43" s="27" t="n">
        <v>0</v>
      </c>
      <c r="U43" s="27" t="inlineStr"/>
      <c r="V43" s="27" t="n">
        <v>0</v>
      </c>
      <c r="W43" s="27" t="inlineStr"/>
      <c r="X43" s="27" t="inlineStr">
        <is>
          <t>local_chain</t>
        </is>
      </c>
      <c r="Y43" s="27" t="inlineStr">
        <is>
          <t>source_linked</t>
        </is>
      </c>
      <c r="Z43" s="27" t="inlineStr"/>
      <c r="AA43" s="27" t="inlineStr">
        <is>
          <t>m065</t>
        </is>
      </c>
    </row>
    <row r="44">
      <c r="A44" s="27" t="inlineStr">
        <is>
          <t>n.go_under</t>
        </is>
      </c>
      <c r="B44" s="27" t="inlineStr">
        <is>
          <t>закатиться / untergehen / go under</t>
        </is>
      </c>
      <c r="C44" s="27" t="inlineStr">
        <is>
          <t>hinge-term</t>
        </is>
      </c>
      <c r="D44" s="27" t="inlineStr">
        <is>
          <t>to</t>
        </is>
      </c>
      <c r="E44" s="27" t="inlineStr">
        <is>
          <t>1,1,1,7</t>
        </is>
      </c>
      <c r="F44" s="27" t="inlineStr">
        <is>
          <t>1,1,1,12</t>
        </is>
      </c>
      <c r="G44" s="27" t="n">
        <v>7</v>
      </c>
      <c r="H44" s="27" t="n">
        <v>12</v>
      </c>
      <c r="I44" s="27" t="inlineStr">
        <is>
          <t>|p7|p8|p12|</t>
        </is>
      </c>
      <c r="J44" s="27" t="inlineStr">
        <is>
          <t>seg.1.1.1.12, seg.1.1.1.7, seg.1.1.1.8</t>
        </is>
      </c>
      <c r="K44" s="27" t="inlineStr">
        <is>
          <t>de+ru+en</t>
        </is>
      </c>
      <c r="L44" s="27" t="inlineStr"/>
      <c r="M44" s="27" t="inlineStr">
        <is>
          <t>de+ru+en</t>
        </is>
      </c>
      <c r="N44" s="27" t="n">
        <v>3</v>
      </c>
      <c r="O44" s="27" t="n">
        <v>0</v>
      </c>
      <c r="P44" s="27" t="n">
        <v>0</v>
      </c>
      <c r="Q44" s="27" t="n">
        <v>3</v>
      </c>
      <c r="R44" s="27" t="n">
        <v>2</v>
      </c>
      <c r="S44" s="27" t="inlineStr">
        <is>
          <t>ev.p12.beginning_of_zarathustra_going_under, ev.p7_8.descent_named_as_go_under</t>
        </is>
      </c>
      <c r="T44" s="27" t="n">
        <v>0</v>
      </c>
      <c r="U44" s="27" t="inlineStr"/>
      <c r="V44" s="27" t="n">
        <v>1</v>
      </c>
      <c r="W44" s="27" t="inlineStr">
        <is>
          <t>n.humans</t>
        </is>
      </c>
      <c r="X44" s="27" t="inlineStr">
        <is>
          <t>local_chain, multi_anchor</t>
        </is>
      </c>
      <c r="Y44" s="27" t="inlineStr">
        <is>
          <t>source_linked</t>
        </is>
      </c>
      <c r="Z44" s="27" t="inlineStr">
        <is>
          <t>человеческое имя для нисхождения</t>
        </is>
      </c>
      <c r="AA44" s="27" t="inlineStr">
        <is>
          <t>m070, m071, m105</t>
        </is>
      </c>
    </row>
    <row r="45">
      <c r="A45" s="27" t="inlineStr">
        <is>
          <t>n.sea</t>
        </is>
      </c>
      <c r="B45" s="27" t="inlineStr">
        <is>
          <t>море</t>
        </is>
      </c>
      <c r="C45" s="27" t="inlineStr">
        <is>
          <t>threshold-place</t>
        </is>
      </c>
      <c r="D45" s="27" t="inlineStr">
        <is>
          <t>to</t>
        </is>
      </c>
      <c r="E45" s="27" t="inlineStr">
        <is>
          <t>1,1,1,7</t>
        </is>
      </c>
      <c r="F45" s="27" t="inlineStr">
        <is>
          <t>1,1,1,7</t>
        </is>
      </c>
      <c r="G45" s="27" t="n">
        <v>7</v>
      </c>
      <c r="H45" s="27" t="n">
        <v>7</v>
      </c>
      <c r="I45" s="27" t="inlineStr">
        <is>
          <t>|p7|</t>
        </is>
      </c>
      <c r="J45" s="27" t="inlineStr">
        <is>
          <t>seg.1.1.1.7</t>
        </is>
      </c>
      <c r="K45" s="27" t="inlineStr">
        <is>
          <t>de+ru+en</t>
        </is>
      </c>
      <c r="L45" s="27" t="inlineStr"/>
      <c r="M45" s="27" t="inlineStr">
        <is>
          <t>de+ru+en</t>
        </is>
      </c>
      <c r="N45" s="27" t="n">
        <v>1</v>
      </c>
      <c r="O45" s="27" t="n">
        <v>0</v>
      </c>
      <c r="P45" s="27" t="n">
        <v>0</v>
      </c>
      <c r="Q45" s="27" t="n">
        <v>1</v>
      </c>
      <c r="R45" s="27" t="n">
        <v>1</v>
      </c>
      <c r="S45" s="27" t="inlineStr">
        <is>
          <t>ev.p7.sun_evening_underworld_light</t>
        </is>
      </c>
      <c r="T45" s="27" t="n">
        <v>0</v>
      </c>
      <c r="U45" s="27" t="inlineStr"/>
      <c r="V45" s="27" t="n">
        <v>0</v>
      </c>
      <c r="W45" s="27" t="inlineStr"/>
      <c r="X45" s="27" t="inlineStr">
        <is>
          <t>local_chain</t>
        </is>
      </c>
      <c r="Y45" s="27" t="inlineStr">
        <is>
          <t>source_linked</t>
        </is>
      </c>
      <c r="Z45" s="27" t="inlineStr"/>
      <c r="AA45" s="27" t="inlineStr">
        <is>
          <t>m066</t>
        </is>
      </c>
    </row>
    <row r="46">
      <c r="A46" s="27" t="inlineStr">
        <is>
          <t>n.underworld</t>
        </is>
      </c>
      <c r="B46" s="27" t="inlineStr">
        <is>
          <t>подземный мир</t>
        </is>
      </c>
      <c r="C46" s="27" t="inlineStr">
        <is>
          <t>underworld-domain</t>
        </is>
      </c>
      <c r="D46" s="27" t="inlineStr">
        <is>
          <t>to</t>
        </is>
      </c>
      <c r="E46" s="27" t="inlineStr">
        <is>
          <t>1,1,1,7</t>
        </is>
      </c>
      <c r="F46" s="27" t="inlineStr">
        <is>
          <t>1,1,1,7</t>
        </is>
      </c>
      <c r="G46" s="27" t="n">
        <v>7</v>
      </c>
      <c r="H46" s="27" t="n">
        <v>7</v>
      </c>
      <c r="I46" s="27" t="inlineStr">
        <is>
          <t>|p7|</t>
        </is>
      </c>
      <c r="J46" s="27" t="inlineStr">
        <is>
          <t>seg.1.1.1.7</t>
        </is>
      </c>
      <c r="K46" s="27" t="inlineStr">
        <is>
          <t>de+ru+en</t>
        </is>
      </c>
      <c r="L46" s="27" t="inlineStr"/>
      <c r="M46" s="27" t="inlineStr">
        <is>
          <t>de+ru+en</t>
        </is>
      </c>
      <c r="N46" s="27" t="n">
        <v>1</v>
      </c>
      <c r="O46" s="27" t="n">
        <v>0</v>
      </c>
      <c r="P46" s="27" t="n">
        <v>0</v>
      </c>
      <c r="Q46" s="27" t="n">
        <v>1</v>
      </c>
      <c r="R46" s="27" t="n">
        <v>1</v>
      </c>
      <c r="S46" s="27" t="inlineStr">
        <is>
          <t>ev.p7.sun_evening_underworld_light</t>
        </is>
      </c>
      <c r="T46" s="27" t="n">
        <v>0</v>
      </c>
      <c r="U46" s="27" t="inlineStr"/>
      <c r="V46" s="27" t="n">
        <v>0</v>
      </c>
      <c r="W46" s="27" t="inlineStr"/>
      <c r="X46" s="27" t="inlineStr">
        <is>
          <t>local_chain</t>
        </is>
      </c>
      <c r="Y46" s="27" t="inlineStr">
        <is>
          <t>source_linked</t>
        </is>
      </c>
      <c r="Z46" s="27" t="inlineStr"/>
      <c r="AA46" s="27" t="inlineStr">
        <is>
          <t>m068</t>
        </is>
      </c>
    </row>
    <row r="47">
      <c r="A47" s="27" t="inlineStr">
        <is>
          <t>n.all_too_great_happiness</t>
        </is>
      </c>
      <c r="B47" s="27" t="inlineStr">
        <is>
          <t>чрезмерно большое счастье</t>
        </is>
      </c>
      <c r="C47" s="27" t="inlineStr">
        <is>
          <t>quality</t>
        </is>
      </c>
      <c r="D47" s="27" t="inlineStr">
        <is>
          <t>to</t>
        </is>
      </c>
      <c r="E47" s="27" t="inlineStr">
        <is>
          <t>1,1,1,9</t>
        </is>
      </c>
      <c r="F47" s="27" t="inlineStr">
        <is>
          <t>1,1,1,9</t>
        </is>
      </c>
      <c r="G47" s="27" t="n">
        <v>9</v>
      </c>
      <c r="H47" s="27" t="n">
        <v>9</v>
      </c>
      <c r="I47" s="27" t="inlineStr">
        <is>
          <t>|p9|</t>
        </is>
      </c>
      <c r="J47" s="27" t="inlineStr">
        <is>
          <t>seg.1.1.1.9</t>
        </is>
      </c>
      <c r="K47" s="27" t="inlineStr">
        <is>
          <t>de+ru+en</t>
        </is>
      </c>
      <c r="L47" s="27" t="inlineStr"/>
      <c r="M47" s="27" t="inlineStr">
        <is>
          <t>de+ru+en</t>
        </is>
      </c>
      <c r="N47" s="27" t="n">
        <v>1</v>
      </c>
      <c r="O47" s="27" t="n">
        <v>0</v>
      </c>
      <c r="P47" s="27" t="n">
        <v>0</v>
      </c>
      <c r="Q47" s="27" t="n">
        <v>1</v>
      </c>
      <c r="R47" s="27" t="n">
        <v>1</v>
      </c>
      <c r="S47" s="27" t="inlineStr">
        <is>
          <t>st.p9.tranquil_eye_without_envy</t>
        </is>
      </c>
      <c r="T47" s="27" t="n">
        <v>0</v>
      </c>
      <c r="U47" s="27" t="inlineStr"/>
      <c r="V47" s="27" t="n">
        <v>0</v>
      </c>
      <c r="W47" s="27" t="inlineStr"/>
      <c r="X47" s="27" t="inlineStr">
        <is>
          <t>local_chain</t>
        </is>
      </c>
      <c r="Y47" s="27" t="inlineStr">
        <is>
          <t>source_linked</t>
        </is>
      </c>
      <c r="Z47" s="27" t="inlineStr"/>
      <c r="AA47" s="27" t="inlineStr">
        <is>
          <t>m080</t>
        </is>
      </c>
    </row>
    <row r="48">
      <c r="A48" s="27" t="inlineStr">
        <is>
          <t>n.blessing</t>
        </is>
      </c>
      <c r="B48" s="27" t="inlineStr">
        <is>
          <t>благословение</t>
        </is>
      </c>
      <c r="C48" s="27" t="inlineStr">
        <is>
          <t>act</t>
        </is>
      </c>
      <c r="D48" s="27" t="inlineStr">
        <is>
          <t>to</t>
        </is>
      </c>
      <c r="E48" s="27" t="inlineStr">
        <is>
          <t>1,1,1,9</t>
        </is>
      </c>
      <c r="F48" s="27" t="inlineStr">
        <is>
          <t>1,1,1,9</t>
        </is>
      </c>
      <c r="G48" s="27" t="n">
        <v>9</v>
      </c>
      <c r="H48" s="27" t="n">
        <v>9</v>
      </c>
      <c r="I48" s="27" t="inlineStr">
        <is>
          <t>|p9|</t>
        </is>
      </c>
      <c r="J48" s="27" t="inlineStr">
        <is>
          <t>seg.1.1.1.9</t>
        </is>
      </c>
      <c r="K48" s="27" t="inlineStr">
        <is>
          <t>de+ru+en</t>
        </is>
      </c>
      <c r="L48" s="27" t="inlineStr"/>
      <c r="M48" s="27" t="inlineStr">
        <is>
          <t>de+ru+en</t>
        </is>
      </c>
      <c r="N48" s="27" t="n">
        <v>1</v>
      </c>
      <c r="O48" s="27" t="n">
        <v>0</v>
      </c>
      <c r="P48" s="27" t="n">
        <v>0</v>
      </c>
      <c r="Q48" s="27" t="n">
        <v>1</v>
      </c>
      <c r="R48" s="27" t="n">
        <v>1</v>
      </c>
      <c r="S48" s="27" t="inlineStr">
        <is>
          <t>ev.p9.request_blessing_from_tranquil_eye</t>
        </is>
      </c>
      <c r="T48" s="27" t="n">
        <v>0</v>
      </c>
      <c r="U48" s="27" t="inlineStr"/>
      <c r="V48" s="27" t="n">
        <v>0</v>
      </c>
      <c r="W48" s="27" t="inlineStr"/>
      <c r="X48" s="27" t="inlineStr">
        <is>
          <t>local_chain</t>
        </is>
      </c>
      <c r="Y48" s="27" t="inlineStr">
        <is>
          <t>source_linked</t>
        </is>
      </c>
      <c r="Z48" s="27" t="inlineStr"/>
      <c r="AA48" s="27" t="inlineStr">
        <is>
          <t>m082</t>
        </is>
      </c>
    </row>
    <row r="49">
      <c r="A49" s="27" t="inlineStr">
        <is>
          <t>n.envy</t>
        </is>
      </c>
      <c r="B49" s="27" t="inlineStr">
        <is>
          <t>зависть</t>
        </is>
      </c>
      <c r="C49" s="27" t="inlineStr">
        <is>
          <t>negative-affect</t>
        </is>
      </c>
      <c r="D49" s="27" t="inlineStr">
        <is>
          <t>to</t>
        </is>
      </c>
      <c r="E49" s="27" t="inlineStr">
        <is>
          <t>1,1,1,9</t>
        </is>
      </c>
      <c r="F49" s="27" t="inlineStr">
        <is>
          <t>1,1,1,9</t>
        </is>
      </c>
      <c r="G49" s="27" t="n">
        <v>9</v>
      </c>
      <c r="H49" s="27" t="n">
        <v>9</v>
      </c>
      <c r="I49" s="27" t="inlineStr">
        <is>
          <t>|p9|</t>
        </is>
      </c>
      <c r="J49" s="27" t="inlineStr">
        <is>
          <t>seg.1.1.1.9</t>
        </is>
      </c>
      <c r="K49" s="27" t="inlineStr">
        <is>
          <t>de+ru+en</t>
        </is>
      </c>
      <c r="L49" s="27" t="inlineStr"/>
      <c r="M49" s="27" t="inlineStr">
        <is>
          <t>de+ru+en</t>
        </is>
      </c>
      <c r="N49" s="27" t="n">
        <v>1</v>
      </c>
      <c r="O49" s="27" t="n">
        <v>0</v>
      </c>
      <c r="P49" s="27" t="n">
        <v>0</v>
      </c>
      <c r="Q49" s="27" t="n">
        <v>1</v>
      </c>
      <c r="R49" s="27" t="n">
        <v>1</v>
      </c>
      <c r="S49" s="27" t="inlineStr">
        <is>
          <t>st.p9.tranquil_eye_without_envy</t>
        </is>
      </c>
      <c r="T49" s="27" t="n">
        <v>0</v>
      </c>
      <c r="U49" s="27" t="inlineStr"/>
      <c r="V49" s="27" t="n">
        <v>0</v>
      </c>
      <c r="W49" s="27" t="inlineStr"/>
      <c r="X49" s="27" t="inlineStr">
        <is>
          <t>local_chain</t>
        </is>
      </c>
      <c r="Y49" s="27" t="inlineStr">
        <is>
          <t>source_linked</t>
        </is>
      </c>
      <c r="Z49" s="27" t="inlineStr"/>
      <c r="AA49" s="27" t="inlineStr">
        <is>
          <t>m081</t>
        </is>
      </c>
    </row>
    <row r="50">
      <c r="A50" s="27" t="inlineStr">
        <is>
          <t>n.tranquil_eye</t>
        </is>
      </c>
      <c r="B50" s="27" t="inlineStr">
        <is>
          <t>спокойное око</t>
        </is>
      </c>
      <c r="C50" s="27" t="inlineStr">
        <is>
          <t>solar-aspect</t>
        </is>
      </c>
      <c r="D50" s="27" t="inlineStr">
        <is>
          <t>both</t>
        </is>
      </c>
      <c r="E50" s="27" t="inlineStr">
        <is>
          <t>1,1,1,9</t>
        </is>
      </c>
      <c r="F50" s="27" t="inlineStr">
        <is>
          <t>1,1,1,10</t>
        </is>
      </c>
      <c r="G50" s="27" t="n">
        <v>9</v>
      </c>
      <c r="H50" s="27" t="n">
        <v>10</v>
      </c>
      <c r="I50" s="27" t="inlineStr">
        <is>
          <t>|p9|p10|</t>
        </is>
      </c>
      <c r="J50" s="27" t="inlineStr">
        <is>
          <t>seg.1.1.1.10, seg.1.1.1.9</t>
        </is>
      </c>
      <c r="K50" s="27" t="inlineStr">
        <is>
          <t>de+ru+en</t>
        </is>
      </c>
      <c r="L50" s="27" t="inlineStr"/>
      <c r="M50" s="27" t="inlineStr">
        <is>
          <t>de+ru+en</t>
        </is>
      </c>
      <c r="N50" s="27" t="n">
        <v>4</v>
      </c>
      <c r="O50" s="27" t="n">
        <v>0</v>
      </c>
      <c r="P50" s="27" t="n">
        <v>0</v>
      </c>
      <c r="Q50" s="27" t="n">
        <v>4</v>
      </c>
      <c r="R50" s="27" t="n">
        <v>3</v>
      </c>
      <c r="S50" s="27" t="inlineStr">
        <is>
          <t>ev.p10.request_blessing_of_cup, ev.p9.request_blessing_from_tranquil_eye, st.p9.tranquil_eye_without_envy</t>
        </is>
      </c>
      <c r="T50" s="27" t="n">
        <v>0</v>
      </c>
      <c r="U50" s="27" t="inlineStr"/>
      <c r="V50" s="27" t="n">
        <v>1</v>
      </c>
      <c r="W50" s="27" t="inlineStr">
        <is>
          <t>n.sun</t>
        </is>
      </c>
      <c r="X50" s="27" t="inlineStr">
        <is>
          <t>local_chain</t>
        </is>
      </c>
      <c r="Y50" s="27" t="inlineStr">
        <is>
          <t>source_linked</t>
        </is>
      </c>
      <c r="Z50" s="27" t="inlineStr">
        <is>
          <t>солнечный образ сужен до ока</t>
        </is>
      </c>
      <c r="AA50" s="27" t="inlineStr">
        <is>
          <t>m077, m078, m079, m085</t>
        </is>
      </c>
    </row>
    <row r="51">
      <c r="A51" s="27" t="inlineStr">
        <is>
          <t>n.bliss</t>
        </is>
      </c>
      <c r="B51" s="27" t="inlineStr">
        <is>
          <t>отрада / блаженство</t>
        </is>
      </c>
      <c r="C51" s="27" t="inlineStr">
        <is>
          <t>solar_quality</t>
        </is>
      </c>
      <c r="D51" s="27" t="inlineStr">
        <is>
          <t>both</t>
        </is>
      </c>
      <c r="E51" s="27" t="inlineStr">
        <is>
          <t>1,1,1,10</t>
        </is>
      </c>
      <c r="F51" s="27" t="inlineStr">
        <is>
          <t>1,1,1,10</t>
        </is>
      </c>
      <c r="G51" s="27" t="n">
        <v>10</v>
      </c>
      <c r="H51" s="27" t="n">
        <v>10</v>
      </c>
      <c r="I51" s="27" t="inlineStr">
        <is>
          <t>|p10|</t>
        </is>
      </c>
      <c r="J51" s="27" t="inlineStr">
        <is>
          <t>seg.1.1.1.10</t>
        </is>
      </c>
      <c r="K51" s="27" t="inlineStr">
        <is>
          <t>de+ru+en</t>
        </is>
      </c>
      <c r="L51" s="27" t="inlineStr"/>
      <c r="M51" s="27" t="inlineStr">
        <is>
          <t>de+ru+en</t>
        </is>
      </c>
      <c r="N51" s="27" t="n">
        <v>2</v>
      </c>
      <c r="O51" s="27" t="n">
        <v>0</v>
      </c>
      <c r="P51" s="27" t="n">
        <v>0</v>
      </c>
      <c r="Q51" s="27" t="n">
        <v>2</v>
      </c>
      <c r="R51" s="27" t="n">
        <v>0</v>
      </c>
      <c r="S51" s="27" t="inlineStr"/>
      <c r="T51" s="27" t="n">
        <v>0</v>
      </c>
      <c r="U51" s="27" t="inlineStr"/>
      <c r="V51" s="27" t="n">
        <v>2</v>
      </c>
      <c r="W51" s="27" t="inlineStr">
        <is>
          <t>n.reflection, n.sun</t>
        </is>
      </c>
      <c r="X51" s="27" t="inlineStr">
        <is>
          <t>local_chain</t>
        </is>
      </c>
      <c r="Y51" s="27" t="inlineStr">
        <is>
          <t>source_linked</t>
        </is>
      </c>
      <c r="Z51" s="27" t="inlineStr">
        <is>
          <t>твоя отрада относится к светилу</t>
        </is>
      </c>
      <c r="AA51" s="27" t="inlineStr">
        <is>
          <t>m095, m096</t>
        </is>
      </c>
    </row>
    <row r="52">
      <c r="A52" s="27" t="inlineStr">
        <is>
          <t>n.cup</t>
        </is>
      </c>
      <c r="B52" s="27" t="inlineStr">
        <is>
          <t>чаша</t>
        </is>
      </c>
      <c r="C52" s="27" t="inlineStr">
        <is>
          <t>vessel-symbol</t>
        </is>
      </c>
      <c r="D52" s="27" t="inlineStr">
        <is>
          <t>both</t>
        </is>
      </c>
      <c r="E52" s="27" t="inlineStr">
        <is>
          <t>1,1,1,10</t>
        </is>
      </c>
      <c r="F52" s="27" t="inlineStr">
        <is>
          <t>1,1,1,11</t>
        </is>
      </c>
      <c r="G52" s="27" t="n">
        <v>10</v>
      </c>
      <c r="H52" s="27" t="n">
        <v>11</v>
      </c>
      <c r="I52" s="27" t="inlineStr">
        <is>
          <t>|p10|p11|</t>
        </is>
      </c>
      <c r="J52" s="27" t="inlineStr">
        <is>
          <t>seg.1.1.1.10, seg.1.1.1.11</t>
        </is>
      </c>
      <c r="K52" s="27" t="inlineStr">
        <is>
          <t>de+ru+en</t>
        </is>
      </c>
      <c r="L52" s="27" t="inlineStr"/>
      <c r="M52" s="27" t="inlineStr">
        <is>
          <t>de+ru+en</t>
        </is>
      </c>
      <c r="N52" s="27" t="n">
        <v>5</v>
      </c>
      <c r="O52" s="27" t="n">
        <v>0</v>
      </c>
      <c r="P52" s="27" t="n">
        <v>0</v>
      </c>
      <c r="Q52" s="27" t="n">
        <v>5</v>
      </c>
      <c r="R52" s="27" t="n">
        <v>4</v>
      </c>
      <c r="S52" s="27" t="inlineStr">
        <is>
          <t>ev.p10.golden_water_flows, ev.p10.request_blessing_of_cup, st.p10.cup_wants_to_overflow, st.p11.cup_wants_to_empty_again</t>
        </is>
      </c>
      <c r="T52" s="27" t="n">
        <v>0</v>
      </c>
      <c r="U52" s="27" t="inlineStr"/>
      <c r="V52" s="27" t="n">
        <v>0</v>
      </c>
      <c r="W52" s="27" t="inlineStr"/>
      <c r="X52" s="27" t="inlineStr">
        <is>
          <t>local_chain</t>
        </is>
      </c>
      <c r="Y52" s="27" t="inlineStr">
        <is>
          <t>source_linked</t>
        </is>
      </c>
      <c r="Z52" s="27" t="inlineStr"/>
      <c r="AA52" s="27" t="inlineStr">
        <is>
          <t>m086, m087, m089, m092, m098</t>
        </is>
      </c>
    </row>
    <row r="53">
      <c r="A53" s="27" t="inlineStr">
        <is>
          <t>n.gold</t>
        </is>
      </c>
      <c r="B53" s="27" t="inlineStr">
        <is>
          <t>золото / золотистость</t>
        </is>
      </c>
      <c r="C53" s="27" t="inlineStr">
        <is>
          <t>quality</t>
        </is>
      </c>
      <c r="D53" s="27" t="inlineStr">
        <is>
          <t>to</t>
        </is>
      </c>
      <c r="E53" s="27" t="inlineStr">
        <is>
          <t>1,1,1,10</t>
        </is>
      </c>
      <c r="F53" s="27" t="inlineStr">
        <is>
          <t>1,1,1,10</t>
        </is>
      </c>
      <c r="G53" s="27" t="n">
        <v>10</v>
      </c>
      <c r="H53" s="27" t="n">
        <v>10</v>
      </c>
      <c r="I53" s="27" t="inlineStr">
        <is>
          <t>|p10|</t>
        </is>
      </c>
      <c r="J53" s="27" t="inlineStr">
        <is>
          <t>seg.1.1.1.10</t>
        </is>
      </c>
      <c r="K53" s="27" t="inlineStr">
        <is>
          <t>de+ru+en</t>
        </is>
      </c>
      <c r="L53" s="27" t="inlineStr"/>
      <c r="M53" s="27" t="inlineStr">
        <is>
          <t>de+ru+en</t>
        </is>
      </c>
      <c r="N53" s="27" t="n">
        <v>1</v>
      </c>
      <c r="O53" s="27" t="n">
        <v>0</v>
      </c>
      <c r="P53" s="27" t="n">
        <v>0</v>
      </c>
      <c r="Q53" s="27" t="n">
        <v>1</v>
      </c>
      <c r="R53" s="27" t="n">
        <v>1</v>
      </c>
      <c r="S53" s="27" t="inlineStr">
        <is>
          <t>ev.p10.golden_water_flows</t>
        </is>
      </c>
      <c r="T53" s="27" t="n">
        <v>0</v>
      </c>
      <c r="U53" s="27" t="inlineStr"/>
      <c r="V53" s="27" t="n">
        <v>0</v>
      </c>
      <c r="W53" s="27" t="inlineStr"/>
      <c r="X53" s="27" t="inlineStr">
        <is>
          <t>local_chain</t>
        </is>
      </c>
      <c r="Y53" s="27" t="inlineStr">
        <is>
          <t>source_linked</t>
        </is>
      </c>
      <c r="Z53" s="27" t="inlineStr"/>
      <c r="AA53" s="27" t="inlineStr">
        <is>
          <t>m091</t>
        </is>
      </c>
    </row>
    <row r="54">
      <c r="A54" s="27" t="inlineStr">
        <is>
          <t>n.reflection</t>
        </is>
      </c>
      <c r="B54" s="27" t="inlineStr">
        <is>
          <t>отблеск / отражение</t>
        </is>
      </c>
      <c r="C54" s="27" t="inlineStr">
        <is>
          <t>reflective_quality</t>
        </is>
      </c>
      <c r="D54" s="27" t="inlineStr">
        <is>
          <t>both</t>
        </is>
      </c>
      <c r="E54" s="27" t="inlineStr">
        <is>
          <t>1,1,1,10</t>
        </is>
      </c>
      <c r="F54" s="27" t="inlineStr">
        <is>
          <t>1,1,1,10</t>
        </is>
      </c>
      <c r="G54" s="27" t="n">
        <v>10</v>
      </c>
      <c r="H54" s="27" t="n">
        <v>10</v>
      </c>
      <c r="I54" s="27" t="inlineStr">
        <is>
          <t>|p10|</t>
        </is>
      </c>
      <c r="J54" s="27" t="inlineStr">
        <is>
          <t>seg.1.1.1.10</t>
        </is>
      </c>
      <c r="K54" s="27" t="inlineStr">
        <is>
          <t>de+ru+en</t>
        </is>
      </c>
      <c r="L54" s="27" t="inlineStr"/>
      <c r="M54" s="27" t="inlineStr">
        <is>
          <t>de+ru+en</t>
        </is>
      </c>
      <c r="N54" s="27" t="n">
        <v>2</v>
      </c>
      <c r="O54" s="27" t="n">
        <v>0</v>
      </c>
      <c r="P54" s="27" t="n">
        <v>0</v>
      </c>
      <c r="Q54" s="27" t="n">
        <v>2</v>
      </c>
      <c r="R54" s="27" t="n">
        <v>1</v>
      </c>
      <c r="S54" s="27" t="inlineStr">
        <is>
          <t>ev.p10.reflection_of_bliss_is_carried</t>
        </is>
      </c>
      <c r="T54" s="27" t="n">
        <v>0</v>
      </c>
      <c r="U54" s="27" t="inlineStr"/>
      <c r="V54" s="27" t="n">
        <v>1</v>
      </c>
      <c r="W54" s="27" t="inlineStr">
        <is>
          <t>n.bliss</t>
        </is>
      </c>
      <c r="X54" s="27" t="inlineStr">
        <is>
          <t>local_chain</t>
        </is>
      </c>
      <c r="Y54" s="27" t="inlineStr">
        <is>
          <t>source_linked</t>
        </is>
      </c>
      <c r="Z54" s="27" t="inlineStr"/>
      <c r="AA54" s="27" t="inlineStr">
        <is>
          <t>m094, m095</t>
        </is>
      </c>
    </row>
    <row r="55">
      <c r="A55" s="27" t="inlineStr">
        <is>
          <t>n.water</t>
        </is>
      </c>
      <c r="B55" s="27" t="inlineStr">
        <is>
          <t>влага / вода</t>
        </is>
      </c>
      <c r="C55" s="27" t="inlineStr">
        <is>
          <t>substance</t>
        </is>
      </c>
      <c r="D55" s="27" t="inlineStr">
        <is>
          <t>to</t>
        </is>
      </c>
      <c r="E55" s="27" t="inlineStr">
        <is>
          <t>1,1,1,10</t>
        </is>
      </c>
      <c r="F55" s="27" t="inlineStr">
        <is>
          <t>1,1,1,10</t>
        </is>
      </c>
      <c r="G55" s="27" t="n">
        <v>10</v>
      </c>
      <c r="H55" s="27" t="n">
        <v>10</v>
      </c>
      <c r="I55" s="27" t="inlineStr">
        <is>
          <t>|p10|</t>
        </is>
      </c>
      <c r="J55" s="27" t="inlineStr">
        <is>
          <t>seg.1.1.1.10</t>
        </is>
      </c>
      <c r="K55" s="27" t="inlineStr">
        <is>
          <t>de+ru+en</t>
        </is>
      </c>
      <c r="L55" s="27" t="inlineStr"/>
      <c r="M55" s="27" t="inlineStr">
        <is>
          <t>de+ru+en</t>
        </is>
      </c>
      <c r="N55" s="27" t="n">
        <v>1</v>
      </c>
      <c r="O55" s="27" t="n">
        <v>0</v>
      </c>
      <c r="P55" s="27" t="n">
        <v>0</v>
      </c>
      <c r="Q55" s="27" t="n">
        <v>1</v>
      </c>
      <c r="R55" s="27" t="n">
        <v>1</v>
      </c>
      <c r="S55" s="27" t="inlineStr">
        <is>
          <t>ev.p10.golden_water_flows</t>
        </is>
      </c>
      <c r="T55" s="27" t="n">
        <v>0</v>
      </c>
      <c r="U55" s="27" t="inlineStr"/>
      <c r="V55" s="27" t="n">
        <v>0</v>
      </c>
      <c r="W55" s="27" t="inlineStr"/>
      <c r="X55" s="27" t="inlineStr">
        <is>
          <t>local_chain</t>
        </is>
      </c>
      <c r="Y55" s="27" t="inlineStr">
        <is>
          <t>source_linked</t>
        </is>
      </c>
      <c r="Z55" s="27" t="inlineStr"/>
      <c r="AA55" s="27" t="inlineStr">
        <is>
          <t>m090</t>
        </is>
      </c>
    </row>
    <row r="56">
      <c r="A56" s="27" t="inlineStr">
        <is>
          <t>n.emptiness</t>
        </is>
      </c>
      <c r="B56" s="27" t="inlineStr">
        <is>
          <t>пустота / опустошение</t>
        </is>
      </c>
      <c r="C56" s="27" t="inlineStr">
        <is>
          <t>state</t>
        </is>
      </c>
      <c r="D56" s="27" t="inlineStr">
        <is>
          <t>to</t>
        </is>
      </c>
      <c r="E56" s="27" t="inlineStr">
        <is>
          <t>1,1,1,11</t>
        </is>
      </c>
      <c r="F56" s="27" t="inlineStr">
        <is>
          <t>1,1,1,11</t>
        </is>
      </c>
      <c r="G56" s="27" t="n">
        <v>11</v>
      </c>
      <c r="H56" s="27" t="n">
        <v>11</v>
      </c>
      <c r="I56" s="27" t="inlineStr">
        <is>
          <t>|p11|</t>
        </is>
      </c>
      <c r="J56" s="27" t="inlineStr">
        <is>
          <t>seg.1.1.1.11</t>
        </is>
      </c>
      <c r="K56" s="27" t="inlineStr">
        <is>
          <t>de+ru+en</t>
        </is>
      </c>
      <c r="L56" s="27" t="inlineStr"/>
      <c r="M56" s="27" t="inlineStr">
        <is>
          <t>de+ru+en</t>
        </is>
      </c>
      <c r="N56" s="27" t="n">
        <v>1</v>
      </c>
      <c r="O56" s="27" t="n">
        <v>0</v>
      </c>
      <c r="P56" s="27" t="n">
        <v>0</v>
      </c>
      <c r="Q56" s="27" t="n">
        <v>1</v>
      </c>
      <c r="R56" s="27" t="n">
        <v>1</v>
      </c>
      <c r="S56" s="27" t="inlineStr">
        <is>
          <t>st.p11.cup_wants_to_empty_again</t>
        </is>
      </c>
      <c r="T56" s="27" t="n">
        <v>0</v>
      </c>
      <c r="U56" s="27" t="inlineStr"/>
      <c r="V56" s="27" t="n">
        <v>0</v>
      </c>
      <c r="W56" s="27" t="inlineStr"/>
      <c r="X56" s="27" t="inlineStr">
        <is>
          <t>local_chain</t>
        </is>
      </c>
      <c r="Y56" s="27" t="inlineStr">
        <is>
          <t>source_linked</t>
        </is>
      </c>
      <c r="Z56" s="27" t="inlineStr"/>
      <c r="AA56" s="27" t="inlineStr">
        <is>
          <t>m099</t>
        </is>
      </c>
    </row>
    <row r="57">
      <c r="A57" s="27" t="inlineStr">
        <is>
          <t>n.human</t>
        </is>
      </c>
      <c r="B57" s="27" t="inlineStr">
        <is>
          <t>человек</t>
        </is>
      </c>
      <c r="C57" s="27" t="inlineStr">
        <is>
          <t>anthropic_state</t>
        </is>
      </c>
      <c r="D57" s="27" t="inlineStr">
        <is>
          <t>to</t>
        </is>
      </c>
      <c r="E57" s="27" t="inlineStr">
        <is>
          <t>1,1,1,11</t>
        </is>
      </c>
      <c r="F57" s="27" t="inlineStr">
        <is>
          <t>1,1,1,11</t>
        </is>
      </c>
      <c r="G57" s="27" t="n">
        <v>11</v>
      </c>
      <c r="H57" s="27" t="n">
        <v>11</v>
      </c>
      <c r="I57" s="27" t="inlineStr">
        <is>
          <t>|p11|</t>
        </is>
      </c>
      <c r="J57" s="27" t="inlineStr">
        <is>
          <t>seg.1.1.1.11</t>
        </is>
      </c>
      <c r="K57" s="27" t="inlineStr">
        <is>
          <t>de+ru+en</t>
        </is>
      </c>
      <c r="L57" s="27" t="inlineStr"/>
      <c r="M57" s="27" t="inlineStr">
        <is>
          <t>de+ru+en</t>
        </is>
      </c>
      <c r="N57" s="27" t="n">
        <v>1</v>
      </c>
      <c r="O57" s="27" t="n">
        <v>0</v>
      </c>
      <c r="P57" s="27" t="n">
        <v>0</v>
      </c>
      <c r="Q57" s="27" t="n">
        <v>1</v>
      </c>
      <c r="R57" s="27" t="n">
        <v>1</v>
      </c>
      <c r="S57" s="27" t="inlineStr">
        <is>
          <t>st.p11.zarathustra_wants_to_become_human_again</t>
        </is>
      </c>
      <c r="T57" s="27" t="n">
        <v>0</v>
      </c>
      <c r="U57" s="27" t="inlineStr"/>
      <c r="V57" s="27" t="n">
        <v>0</v>
      </c>
      <c r="W57" s="27" t="inlineStr"/>
      <c r="X57" s="27" t="inlineStr">
        <is>
          <t>local_chain</t>
        </is>
      </c>
      <c r="Y57" s="27" t="inlineStr">
        <is>
          <t>source_linked</t>
        </is>
      </c>
      <c r="Z57" s="27" t="inlineStr"/>
      <c r="AA57" s="27" t="inlineStr">
        <is>
          <t>m101</t>
        </is>
      </c>
    </row>
  </sheetData>
  <autoFilter ref="A11:AA57"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pane xSplit="1" ySplit="11" topLeftCell="B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42" customWidth="1" min="10" max="10"/>
    <col width="22" customWidth="1" min="11" max="11"/>
    <col width="25" customWidth="1" min="12" max="12"/>
    <col width="20" customWidth="1" min="13" max="13"/>
    <col width="19" customWidth="1" min="14" max="14"/>
    <col width="19" customWidth="1" min="15" max="15"/>
    <col width="22" customWidth="1" min="16" max="16"/>
    <col width="18" customWidth="1" min="17" max="17"/>
    <col width="22" customWidth="1" min="18" max="18"/>
    <col width="42" customWidth="1" min="19" max="19"/>
    <col width="22" customWidth="1" min="20" max="20"/>
    <col width="42" customWidth="1" min="21" max="21"/>
    <col width="22" customWidth="1" min="22" max="22"/>
    <col width="37" customWidth="1" min="23" max="23"/>
    <col width="42" customWidth="1" min="24" max="24"/>
    <col width="36" customWidth="1" min="25" max="25"/>
    <col width="42" customWidth="1" min="26" max="26"/>
    <col width="42" customWidth="1" min="27" max="27"/>
  </cols>
  <sheetData>
    <row r="1">
      <c r="A1" s="23" t="inlineStr">
        <is>
          <t>Фактическая проекция: event_state_nodes_actual</t>
        </is>
      </c>
    </row>
    <row r="2">
      <c r="A2" s="24" t="inlineStr">
        <is>
          <t>События, состояния и analogy/event узлы, извлечённые из master-таблицы связности по [1]-[12].</t>
        </is>
      </c>
    </row>
    <row r="4">
      <c r="A4" s="25" t="inlineStr">
        <is>
          <t>Источник</t>
        </is>
      </c>
      <c r="B4" s="4" t="inlineStr">
        <is>
          <t>15_Master_связность_1_12</t>
        </is>
      </c>
    </row>
    <row r="5">
      <c r="A5" s="25" t="inlineStr">
        <is>
          <t>Логика</t>
        </is>
      </c>
      <c r="B5" s="4" t="inlineStr">
        <is>
          <t>Чистая фактическая проекция из master: по устойчивым ID, без ручного дублирования.</t>
        </is>
      </c>
    </row>
    <row r="6">
      <c r="A6" s="25" t="inlineStr">
        <is>
          <t>Всего строк</t>
        </is>
      </c>
      <c r="B6" s="4">
        <f>COUNTA(A12:A39)</f>
        <v/>
      </c>
    </row>
    <row r="7">
      <c r="A7" s="25" t="inlineStr">
        <is>
          <t>Как читать</t>
        </is>
      </c>
      <c r="B7" s="4" t="inlineStr">
        <is>
          <t>Смотри anchors, counts, witness_scope и connected_* поля: они показывают, как сущность живет в master и где ее лучше разворачивать дальше.</t>
        </is>
      </c>
    </row>
    <row r="8">
      <c r="A8" s="25" t="inlineStr">
        <is>
          <t>Примечание</t>
        </is>
      </c>
      <c r="B8" s="4" t="inlineStr">
        <is>
          <t>Здесь живут ev.* и st.*. Если узел начинает нести длительность, условность, повторяемость или многосвязный ход, ему обычно лучше быть здесь.</t>
        </is>
      </c>
    </row>
    <row r="11">
      <c r="A11" s="26" t="inlineStr">
        <is>
          <t>es_id</t>
        </is>
      </c>
      <c r="B11" s="26" t="inlineStr">
        <is>
          <t>label_ru</t>
        </is>
      </c>
      <c r="C11" s="26" t="inlineStr">
        <is>
          <t>class</t>
        </is>
      </c>
      <c r="D11" s="26" t="inlineStr">
        <is>
          <t>appears_as</t>
        </is>
      </c>
      <c r="E11" s="26" t="inlineStr">
        <is>
          <t>first_sec</t>
        </is>
      </c>
      <c r="F11" s="26" t="inlineStr">
        <is>
          <t>last_sec</t>
        </is>
      </c>
      <c r="G11" s="26" t="inlineStr">
        <is>
          <t>p_first</t>
        </is>
      </c>
      <c r="H11" s="26" t="inlineStr">
        <is>
          <t>p_last</t>
        </is>
      </c>
      <c r="I11" s="26" t="inlineStr">
        <is>
          <t>paragraph_tags</t>
        </is>
      </c>
      <c r="J11" s="26" t="inlineStr">
        <is>
          <t>segment_ids</t>
        </is>
      </c>
      <c r="K11" s="26" t="inlineStr">
        <is>
          <t>source_witness_scope</t>
        </is>
      </c>
      <c r="L11" s="26" t="inlineStr">
        <is>
          <t>principle_witness_scope</t>
        </is>
      </c>
      <c r="M11" s="26" t="inlineStr">
        <is>
          <t>all_witness_scope</t>
        </is>
      </c>
      <c r="N11" s="26" t="inlineStr">
        <is>
          <t>source_edge_count</t>
        </is>
      </c>
      <c r="O11" s="26" t="inlineStr">
        <is>
          <t>bridge_edge_count</t>
        </is>
      </c>
      <c r="P11" s="26" t="inlineStr">
        <is>
          <t>principle_edge_count</t>
        </is>
      </c>
      <c r="Q11" s="26" t="inlineStr">
        <is>
          <t>total_refs</t>
        </is>
      </c>
      <c r="R11" s="26" t="inlineStr">
        <is>
          <t>connected_node_count</t>
        </is>
      </c>
      <c r="S11" s="26" t="inlineStr">
        <is>
          <t>connected_node_ids</t>
        </is>
      </c>
      <c r="T11" s="26" t="inlineStr">
        <is>
          <t>connected_event_state_count</t>
        </is>
      </c>
      <c r="U11" s="26" t="inlineStr">
        <is>
          <t>connected_event_state_ids</t>
        </is>
      </c>
      <c r="V11" s="26" t="inlineStr">
        <is>
          <t>connected_principle_count</t>
        </is>
      </c>
      <c r="W11" s="26" t="inlineStr">
        <is>
          <t>connected_principle_ids</t>
        </is>
      </c>
      <c r="X11" s="26" t="inlineStr">
        <is>
          <t>connectivity_roles</t>
        </is>
      </c>
      <c r="Y11" s="26" t="inlineStr">
        <is>
          <t>layers</t>
        </is>
      </c>
      <c r="Z11" s="26" t="inlineStr">
        <is>
          <t>note_ru</t>
        </is>
      </c>
      <c r="AA11" s="26" t="inlineStr">
        <is>
          <t>master_refs</t>
        </is>
      </c>
    </row>
    <row r="12">
      <c r="A12" s="27" t="inlineStr">
        <is>
          <t>ev.p1.dawn_address_to_sun</t>
        </is>
      </c>
      <c r="B12" s="27" t="inlineStr">
        <is>
          <t>утреннее обращение к солнцу</t>
        </is>
      </c>
      <c r="C12" s="27" t="inlineStr">
        <is>
          <t>event</t>
        </is>
      </c>
      <c r="D12" s="27" t="inlineStr">
        <is>
          <t>both</t>
        </is>
      </c>
      <c r="E12" s="27" t="inlineStr">
        <is>
          <t>1,1,1,1</t>
        </is>
      </c>
      <c r="F12" s="27" t="inlineStr">
        <is>
          <t>1,1,1,1</t>
        </is>
      </c>
      <c r="G12" s="27" t="n">
        <v>1</v>
      </c>
      <c r="H12" s="27" t="n">
        <v>1</v>
      </c>
      <c r="I12" s="27" t="inlineStr">
        <is>
          <t>|p1|</t>
        </is>
      </c>
      <c r="J12" s="27" t="inlineStr">
        <is>
          <t>seg.1.1.1.1</t>
        </is>
      </c>
      <c r="K12" s="27" t="inlineStr">
        <is>
          <t>de+ru+en</t>
        </is>
      </c>
      <c r="L12" s="27" t="inlineStr"/>
      <c r="M12" s="27" t="inlineStr">
        <is>
          <t>de+ru+en</t>
        </is>
      </c>
      <c r="N12" s="27" t="n">
        <v>3</v>
      </c>
      <c r="O12" s="27" t="n">
        <v>1</v>
      </c>
      <c r="P12" s="27" t="n">
        <v>0</v>
      </c>
      <c r="Q12" s="27" t="n">
        <v>4</v>
      </c>
      <c r="R12" s="27" t="n">
        <v>3</v>
      </c>
      <c r="S12" s="27" t="inlineStr">
        <is>
          <t>n.dawn, n.sun, n.zarathustra</t>
        </is>
      </c>
      <c r="T12" s="27" t="n">
        <v>1</v>
      </c>
      <c r="U12" s="27" t="inlineStr">
        <is>
          <t>ev.p1.heart_transformation</t>
        </is>
      </c>
      <c r="V12" s="27" t="n">
        <v>0</v>
      </c>
      <c r="W12" s="27" t="inlineStr"/>
      <c r="X12" s="27" t="inlineStr">
        <is>
          <t>local_chain, reasoning_bridge</t>
        </is>
      </c>
      <c r="Y12" s="27" t="inlineStr">
        <is>
          <t>source_linked</t>
        </is>
      </c>
      <c r="Z12" s="27" t="inlineStr"/>
      <c r="AA12" s="27" t="inlineStr">
        <is>
          <t>m011, m012, m013, m014</t>
        </is>
      </c>
    </row>
    <row r="13">
      <c r="A13" s="27" t="inlineStr">
        <is>
          <t>ev.p1.departure_from_origin</t>
        </is>
      </c>
      <c r="B13" s="27" t="inlineStr">
        <is>
          <t>уход из родины и озера</t>
        </is>
      </c>
      <c r="C13" s="27" t="inlineStr">
        <is>
          <t>event</t>
        </is>
      </c>
      <c r="D13" s="27" t="inlineStr">
        <is>
          <t>both</t>
        </is>
      </c>
      <c r="E13" s="27" t="inlineStr">
        <is>
          <t>1,1,1,1</t>
        </is>
      </c>
      <c r="F13" s="27" t="inlineStr">
        <is>
          <t>1,1,1,1</t>
        </is>
      </c>
      <c r="G13" s="27" t="n">
        <v>1</v>
      </c>
      <c r="H13" s="27" t="n">
        <v>1</v>
      </c>
      <c r="I13" s="27" t="inlineStr">
        <is>
          <t>|p1|</t>
        </is>
      </c>
      <c r="J13" s="27" t="inlineStr">
        <is>
          <t>seg.1.1.1.1</t>
        </is>
      </c>
      <c r="K13" s="27" t="inlineStr">
        <is>
          <t>de+ru+en</t>
        </is>
      </c>
      <c r="L13" s="27" t="inlineStr">
        <is>
          <t>authored</t>
        </is>
      </c>
      <c r="M13" s="27" t="inlineStr">
        <is>
          <t>authored, de+ru+en</t>
        </is>
      </c>
      <c r="N13" s="27" t="n">
        <v>4</v>
      </c>
      <c r="O13" s="27" t="n">
        <v>0</v>
      </c>
      <c r="P13" s="27" t="n">
        <v>1</v>
      </c>
      <c r="Q13" s="27" t="n">
        <v>5</v>
      </c>
      <c r="R13" s="27" t="n">
        <v>4</v>
      </c>
      <c r="S13" s="27" t="inlineStr">
        <is>
          <t>n.homeland, n.lake_of_homeland, n.mountains, n.zarathustra</t>
        </is>
      </c>
      <c r="T13" s="27" t="n">
        <v>0</v>
      </c>
      <c r="U13" s="27" t="inlineStr"/>
      <c r="V13" s="27" t="n">
        <v>1</v>
      </c>
      <c r="W13" s="27" t="inlineStr">
        <is>
          <t>pr.departure_from_reflective_origin</t>
        </is>
      </c>
      <c r="X13" s="27" t="inlineStr">
        <is>
          <t>local_chain, symbolic_support</t>
        </is>
      </c>
      <c r="Y13" s="27" t="inlineStr">
        <is>
          <t>authored_commentary, source_linked</t>
        </is>
      </c>
      <c r="Z13" s="27" t="inlineStr">
        <is>
          <t>стартовый пространственный разрыв | озеро читается как отражённый исток</t>
        </is>
      </c>
      <c r="AA13" s="27" t="inlineStr">
        <is>
          <t>m001, m002, m003, m004, m108</t>
        </is>
      </c>
    </row>
    <row r="14">
      <c r="A14" s="27" t="inlineStr">
        <is>
          <t>ev.p1.heart_transformation</t>
        </is>
      </c>
      <c r="B14" s="27" t="inlineStr">
        <is>
          <t>преображение сердца</t>
        </is>
      </c>
      <c r="C14" s="27" t="inlineStr">
        <is>
          <t>event</t>
        </is>
      </c>
      <c r="D14" s="27" t="inlineStr">
        <is>
          <t>both</t>
        </is>
      </c>
      <c r="E14" s="27" t="inlineStr">
        <is>
          <t>1,1,1,1</t>
        </is>
      </c>
      <c r="F14" s="27" t="inlineStr">
        <is>
          <t>1,1,1,1</t>
        </is>
      </c>
      <c r="G14" s="27" t="n">
        <v>1</v>
      </c>
      <c r="H14" s="27" t="n">
        <v>1</v>
      </c>
      <c r="I14" s="27" t="inlineStr">
        <is>
          <t>|p1|</t>
        </is>
      </c>
      <c r="J14" s="27" t="inlineStr">
        <is>
          <t>seg.1.1.1.1</t>
        </is>
      </c>
      <c r="K14" s="27" t="inlineStr">
        <is>
          <t>de+ru+en</t>
        </is>
      </c>
      <c r="L14" s="27" t="inlineStr"/>
      <c r="M14" s="27" t="inlineStr">
        <is>
          <t>de+ru+en</t>
        </is>
      </c>
      <c r="N14" s="27" t="n">
        <v>1</v>
      </c>
      <c r="O14" s="27" t="n">
        <v>2</v>
      </c>
      <c r="P14" s="27" t="n">
        <v>0</v>
      </c>
      <c r="Q14" s="27" t="n">
        <v>3</v>
      </c>
      <c r="R14" s="27" t="n">
        <v>1</v>
      </c>
      <c r="S14" s="27" t="inlineStr">
        <is>
          <t>n.heart</t>
        </is>
      </c>
      <c r="T14" s="27" t="n">
        <v>2</v>
      </c>
      <c r="U14" s="27" t="inlineStr">
        <is>
          <t>ev.p1.dawn_address_to_sun, st.p1.solitary_ripening_10y</t>
        </is>
      </c>
      <c r="V14" s="27" t="n">
        <v>0</v>
      </c>
      <c r="W14" s="27" t="inlineStr"/>
      <c r="X14" s="27" t="inlineStr">
        <is>
          <t>local_chain, reasoning_bridge</t>
        </is>
      </c>
      <c r="Y14" s="27" t="inlineStr">
        <is>
          <t>source_linked</t>
        </is>
      </c>
      <c r="Z14" s="27" t="inlineStr">
        <is>
          <t>созревание ведет к внутреннему повороту</t>
        </is>
      </c>
      <c r="AA14" s="27" t="inlineStr">
        <is>
          <t>m009, m010, m011</t>
        </is>
      </c>
    </row>
    <row r="15">
      <c r="A15" s="27" t="inlineStr">
        <is>
          <t>st.p1.solitary_ripening_10y</t>
        </is>
      </c>
      <c r="B15" s="27" t="inlineStr">
        <is>
          <t>десятилетнее горное уединение</t>
        </is>
      </c>
      <c r="C15" s="27" t="inlineStr">
        <is>
          <t>state</t>
        </is>
      </c>
      <c r="D15" s="27" t="inlineStr">
        <is>
          <t>both</t>
        </is>
      </c>
      <c r="E15" s="27" t="inlineStr">
        <is>
          <t>1,1,1,1</t>
        </is>
      </c>
      <c r="F15" s="27" t="inlineStr">
        <is>
          <t>1,1,1,1</t>
        </is>
      </c>
      <c r="G15" s="27" t="n">
        <v>1</v>
      </c>
      <c r="H15" s="27" t="n">
        <v>1</v>
      </c>
      <c r="I15" s="27" t="inlineStr">
        <is>
          <t>|p1|</t>
        </is>
      </c>
      <c r="J15" s="27" t="inlineStr">
        <is>
          <t>seg.1.1.1.1</t>
        </is>
      </c>
      <c r="K15" s="27" t="inlineStr">
        <is>
          <t>de+ru+en</t>
        </is>
      </c>
      <c r="L15" s="27" t="inlineStr">
        <is>
          <t>de+ru+en</t>
        </is>
      </c>
      <c r="M15" s="27" t="inlineStr">
        <is>
          <t>de+ru+en</t>
        </is>
      </c>
      <c r="N15" s="27" t="n">
        <v>4</v>
      </c>
      <c r="O15" s="27" t="n">
        <v>1</v>
      </c>
      <c r="P15" s="27" t="n">
        <v>1</v>
      </c>
      <c r="Q15" s="27" t="n">
        <v>6</v>
      </c>
      <c r="R15" s="27" t="n">
        <v>3</v>
      </c>
      <c r="S15" s="27" t="inlineStr">
        <is>
          <t>n.solitude, n.spirit, n.zarathustra</t>
        </is>
      </c>
      <c r="T15" s="27" t="n">
        <v>1</v>
      </c>
      <c r="U15" s="27" t="inlineStr">
        <is>
          <t>ev.p1.heart_transformation</t>
        </is>
      </c>
      <c r="V15" s="27" t="n">
        <v>1</v>
      </c>
      <c r="W15" s="27" t="inlineStr">
        <is>
          <t>pr.solitude_as_ripening</t>
        </is>
      </c>
      <c r="X15" s="27" t="inlineStr">
        <is>
          <t>local_chain, principle_support, reasoning_bridge</t>
        </is>
      </c>
      <c r="Y15" s="27" t="inlineStr">
        <is>
          <t>distilled_principle, source_linked</t>
        </is>
      </c>
      <c r="Z15" s="27" t="inlineStr">
        <is>
          <t>десятилетнее уединение как состояние | созревание ведет к внутреннему повороту | уединение не пустота, а созревание</t>
        </is>
      </c>
      <c r="AA15" s="27" t="inlineStr">
        <is>
          <t>m005, m006, m007, m008, m009, m107</t>
        </is>
      </c>
    </row>
    <row r="16">
      <c r="A16" s="27" t="inlineStr">
        <is>
          <t>st.p2.solar_happiness_requires_recipients</t>
        </is>
      </c>
      <c r="B16" s="27" t="inlineStr">
        <is>
          <t>счастье светила требует адресатов света</t>
        </is>
      </c>
      <c r="C16" s="27" t="inlineStr">
        <is>
          <t>state</t>
        </is>
      </c>
      <c r="D16" s="27" t="inlineStr">
        <is>
          <t>both</t>
        </is>
      </c>
      <c r="E16" s="27" t="inlineStr">
        <is>
          <t>1,1,1,2</t>
        </is>
      </c>
      <c r="F16" s="27" t="inlineStr">
        <is>
          <t>1,1,1,2</t>
        </is>
      </c>
      <c r="G16" s="27" t="n">
        <v>2</v>
      </c>
      <c r="H16" s="27" t="n">
        <v>2</v>
      </c>
      <c r="I16" s="27" t="inlineStr">
        <is>
          <t>|p2|</t>
        </is>
      </c>
      <c r="J16" s="27" t="inlineStr">
        <is>
          <t>seg.1.1.1.2</t>
        </is>
      </c>
      <c r="K16" s="27" t="inlineStr">
        <is>
          <t>de+ru+en</t>
        </is>
      </c>
      <c r="L16" s="27" t="inlineStr">
        <is>
          <t>de+ru+en</t>
        </is>
      </c>
      <c r="M16" s="27" t="inlineStr">
        <is>
          <t>de+ru+en</t>
        </is>
      </c>
      <c r="N16" s="27" t="n">
        <v>3</v>
      </c>
      <c r="O16" s="27" t="n">
        <v>0</v>
      </c>
      <c r="P16" s="27" t="n">
        <v>1</v>
      </c>
      <c r="Q16" s="27" t="n">
        <v>4</v>
      </c>
      <c r="R16" s="27" t="n">
        <v>3</v>
      </c>
      <c r="S16" s="27" t="inlineStr">
        <is>
          <t>n.happiness, n.recipients_of_light, n.sun</t>
        </is>
      </c>
      <c r="T16" s="27" t="n">
        <v>0</v>
      </c>
      <c r="U16" s="27" t="inlineStr"/>
      <c r="V16" s="27" t="n">
        <v>1</v>
      </c>
      <c r="W16" s="27" t="inlineStr">
        <is>
          <t>pr.happiness_is_relational</t>
        </is>
      </c>
      <c r="X16" s="27" t="inlineStr">
        <is>
          <t>local_chain, principle_support</t>
        </is>
      </c>
      <c r="Y16" s="27" t="inlineStr">
        <is>
          <t>distilled_principle, source_linked</t>
        </is>
      </c>
      <c r="Z16" s="27" t="inlineStr">
        <is>
          <t>солнечное счастье задано как отношение | адресаты света держат смысл счастья</t>
        </is>
      </c>
      <c r="AA16" s="27" t="inlineStr">
        <is>
          <t>m015, m016, m018, m109</t>
        </is>
      </c>
    </row>
    <row r="17">
      <c r="A17" s="27" t="inlineStr">
        <is>
          <t>ev.p3.sun_ascends_to_cave_10y</t>
        </is>
      </c>
      <c r="B17" s="27" t="inlineStr">
        <is>
          <t>десятилетнее восхождение солнца к пещере</t>
        </is>
      </c>
      <c r="C17" s="27" t="inlineStr">
        <is>
          <t>event</t>
        </is>
      </c>
      <c r="D17" s="27" t="inlineStr">
        <is>
          <t>both</t>
        </is>
      </c>
      <c r="E17" s="27" t="inlineStr">
        <is>
          <t>1,1,1,3</t>
        </is>
      </c>
      <c r="F17" s="27" t="inlineStr">
        <is>
          <t>1,1,1,3</t>
        </is>
      </c>
      <c r="G17" s="27" t="n">
        <v>3</v>
      </c>
      <c r="H17" s="27" t="n">
        <v>3</v>
      </c>
      <c r="I17" s="27" t="inlineStr">
        <is>
          <t>|p3|</t>
        </is>
      </c>
      <c r="J17" s="27" t="inlineStr">
        <is>
          <t>seg.1.1.1.3</t>
        </is>
      </c>
      <c r="K17" s="27" t="inlineStr">
        <is>
          <t>de+ru+en</t>
        </is>
      </c>
      <c r="L17" s="27" t="inlineStr"/>
      <c r="M17" s="27" t="inlineStr">
        <is>
          <t>de+ru+en</t>
        </is>
      </c>
      <c r="N17" s="27" t="n">
        <v>3</v>
      </c>
      <c r="O17" s="27" t="n">
        <v>0</v>
      </c>
      <c r="P17" s="27" t="n">
        <v>0</v>
      </c>
      <c r="Q17" s="27" t="n">
        <v>3</v>
      </c>
      <c r="R17" s="27" t="n">
        <v>2</v>
      </c>
      <c r="S17" s="27" t="inlineStr">
        <is>
          <t>n.cave, n.sun</t>
        </is>
      </c>
      <c r="T17" s="27" t="n">
        <v>0</v>
      </c>
      <c r="U17" s="27" t="inlineStr"/>
      <c r="V17" s="27" t="n">
        <v>0</v>
      </c>
      <c r="W17" s="27" t="inlineStr"/>
      <c r="X17" s="27" t="inlineStr">
        <is>
          <t>local_chain</t>
        </is>
      </c>
      <c r="Y17" s="27" t="inlineStr">
        <is>
          <t>source_linked</t>
        </is>
      </c>
      <c r="Z17" s="27" t="inlineStr"/>
      <c r="AA17" s="27" t="inlineStr">
        <is>
          <t>m019, m020, m021</t>
        </is>
      </c>
    </row>
    <row r="18">
      <c r="A18" s="27" t="inlineStr">
        <is>
          <t>st.p3.sun_would_grow_sated_without_triad</t>
        </is>
      </c>
      <c r="B18" s="27" t="inlineStr">
        <is>
          <t>без триады солнце пресытилось бы светом и путем</t>
        </is>
      </c>
      <c r="C18" s="27" t="inlineStr">
        <is>
          <t>state</t>
        </is>
      </c>
      <c r="D18" s="27" t="inlineStr">
        <is>
          <t>both</t>
        </is>
      </c>
      <c r="E18" s="27" t="inlineStr">
        <is>
          <t>1,1,1,3</t>
        </is>
      </c>
      <c r="F18" s="27" t="inlineStr">
        <is>
          <t>1,1,1,3</t>
        </is>
      </c>
      <c r="G18" s="27" t="n">
        <v>3</v>
      </c>
      <c r="H18" s="27" t="n">
        <v>3</v>
      </c>
      <c r="I18" s="27" t="inlineStr">
        <is>
          <t>|p3|</t>
        </is>
      </c>
      <c r="J18" s="27" t="inlineStr">
        <is>
          <t>seg.1.1.1.3</t>
        </is>
      </c>
      <c r="K18" s="27" t="inlineStr">
        <is>
          <t>de+ru+en</t>
        </is>
      </c>
      <c r="L18" s="27" t="inlineStr"/>
      <c r="M18" s="27" t="inlineStr">
        <is>
          <t>de+ru+en</t>
        </is>
      </c>
      <c r="N18" s="27" t="n">
        <v>4</v>
      </c>
      <c r="O18" s="27" t="n">
        <v>0</v>
      </c>
      <c r="P18" s="27" t="n">
        <v>0</v>
      </c>
      <c r="Q18" s="27" t="n">
        <v>4</v>
      </c>
      <c r="R18" s="27" t="n">
        <v>4</v>
      </c>
      <c r="S18" s="27" t="inlineStr">
        <is>
          <t>n.light, n.path, n.sun, n.triad_zarathustra_eagle_serpent</t>
        </is>
      </c>
      <c r="T18" s="27" t="n">
        <v>0</v>
      </c>
      <c r="U18" s="27" t="inlineStr"/>
      <c r="V18" s="27" t="n">
        <v>0</v>
      </c>
      <c r="W18" s="27" t="inlineStr"/>
      <c r="X18" s="27" t="inlineStr">
        <is>
          <t>local_chain</t>
        </is>
      </c>
      <c r="Y18" s="27" t="inlineStr">
        <is>
          <t>source_linked</t>
        </is>
      </c>
      <c r="Z18" s="27" t="inlineStr">
        <is>
          <t>условная конструкция пресыщения</t>
        </is>
      </c>
      <c r="AA18" s="27" t="inlineStr">
        <is>
          <t>m022, m023, m024, m025</t>
        </is>
      </c>
    </row>
    <row r="19">
      <c r="A19" s="27" t="inlineStr">
        <is>
          <t>ev.p4.bless_sun_for_overflow</t>
        </is>
      </c>
      <c r="B19" s="27" t="inlineStr">
        <is>
          <t>благословение солнца за избыток</t>
        </is>
      </c>
      <c r="C19" s="27" t="inlineStr">
        <is>
          <t>event</t>
        </is>
      </c>
      <c r="D19" s="27" t="inlineStr">
        <is>
          <t>both</t>
        </is>
      </c>
      <c r="E19" s="27" t="inlineStr">
        <is>
          <t>1,1,1,4</t>
        </is>
      </c>
      <c r="F19" s="27" t="inlineStr">
        <is>
          <t>1,1,1,4</t>
        </is>
      </c>
      <c r="G19" s="27" t="n">
        <v>4</v>
      </c>
      <c r="H19" s="27" t="n">
        <v>4</v>
      </c>
      <c r="I19" s="27" t="inlineStr">
        <is>
          <t>|p4|</t>
        </is>
      </c>
      <c r="J19" s="27" t="inlineStr">
        <is>
          <t>seg.1.1.1.4</t>
        </is>
      </c>
      <c r="K19" s="27" t="inlineStr">
        <is>
          <t>de+ru+en</t>
        </is>
      </c>
      <c r="L19" s="27" t="inlineStr">
        <is>
          <t>de+ru+en</t>
        </is>
      </c>
      <c r="M19" s="27" t="inlineStr">
        <is>
          <t>de+ru+en</t>
        </is>
      </c>
      <c r="N19" s="27" t="n">
        <v>3</v>
      </c>
      <c r="O19" s="27" t="n">
        <v>0</v>
      </c>
      <c r="P19" s="27" t="n">
        <v>1</v>
      </c>
      <c r="Q19" s="27" t="n">
        <v>4</v>
      </c>
      <c r="R19" s="27" t="n">
        <v>3</v>
      </c>
      <c r="S19" s="27" t="inlineStr">
        <is>
          <t>n.overflow, n.sun, n.triad_zarathustra_eagle_serpent</t>
        </is>
      </c>
      <c r="T19" s="27" t="n">
        <v>0</v>
      </c>
      <c r="U19" s="27" t="inlineStr"/>
      <c r="V19" s="27" t="n">
        <v>1</v>
      </c>
      <c r="W19" s="27" t="inlineStr">
        <is>
          <t>pr.blessing_is_reciprocal</t>
        </is>
      </c>
      <c r="X19" s="27" t="inlineStr">
        <is>
          <t>local_chain, principle_support</t>
        </is>
      </c>
      <c r="Y19" s="27" t="inlineStr">
        <is>
          <t>distilled_principle, source_linked</t>
        </is>
      </c>
      <c r="Z19" s="27" t="inlineStr"/>
      <c r="AA19" s="27" t="inlineStr">
        <is>
          <t>m035, m036, m037, m111</t>
        </is>
      </c>
    </row>
    <row r="20">
      <c r="A20" s="27" t="inlineStr">
        <is>
          <t>ev.p4.morning_wait_for_sun</t>
        </is>
      </c>
      <c r="B20" s="27" t="inlineStr">
        <is>
          <t>утреннее ожидание солнца</t>
        </is>
      </c>
      <c r="C20" s="27" t="inlineStr">
        <is>
          <t>event</t>
        </is>
      </c>
      <c r="D20" s="27" t="inlineStr">
        <is>
          <t>both</t>
        </is>
      </c>
      <c r="E20" s="27" t="inlineStr">
        <is>
          <t>1,1,1,4</t>
        </is>
      </c>
      <c r="F20" s="27" t="inlineStr">
        <is>
          <t>1,1,1,4</t>
        </is>
      </c>
      <c r="G20" s="27" t="n">
        <v>4</v>
      </c>
      <c r="H20" s="27" t="n">
        <v>4</v>
      </c>
      <c r="I20" s="27" t="inlineStr">
        <is>
          <t>|p4|</t>
        </is>
      </c>
      <c r="J20" s="27" t="inlineStr">
        <is>
          <t>seg.1.1.1.4</t>
        </is>
      </c>
      <c r="K20" s="27" t="inlineStr">
        <is>
          <t>de+ru+en</t>
        </is>
      </c>
      <c r="L20" s="27" t="inlineStr"/>
      <c r="M20" s="27" t="inlineStr">
        <is>
          <t>de+ru+en</t>
        </is>
      </c>
      <c r="N20" s="27" t="n">
        <v>3</v>
      </c>
      <c r="O20" s="27" t="n">
        <v>0</v>
      </c>
      <c r="P20" s="27" t="n">
        <v>0</v>
      </c>
      <c r="Q20" s="27" t="n">
        <v>3</v>
      </c>
      <c r="R20" s="27" t="n">
        <v>3</v>
      </c>
      <c r="S20" s="27" t="inlineStr">
        <is>
          <t>n.morning, n.sun, n.triad_zarathustra_eagle_serpent</t>
        </is>
      </c>
      <c r="T20" s="27" t="n">
        <v>0</v>
      </c>
      <c r="U20" s="27" t="inlineStr"/>
      <c r="V20" s="27" t="n">
        <v>0</v>
      </c>
      <c r="W20" s="27" t="inlineStr"/>
      <c r="X20" s="27" t="inlineStr">
        <is>
          <t>local_chain</t>
        </is>
      </c>
      <c r="Y20" s="27" t="inlineStr">
        <is>
          <t>source_linked</t>
        </is>
      </c>
      <c r="Z20" s="27" t="inlineStr"/>
      <c r="AA20" s="27" t="inlineStr">
        <is>
          <t>m029, m030, m031</t>
        </is>
      </c>
    </row>
    <row r="21">
      <c r="A21" s="27" t="inlineStr">
        <is>
          <t>ev.p4.receive_overflow_from_sun</t>
        </is>
      </c>
      <c r="B21" s="27" t="inlineStr">
        <is>
          <t>принятие избытка солнца</t>
        </is>
      </c>
      <c r="C21" s="27" t="inlineStr">
        <is>
          <t>event</t>
        </is>
      </c>
      <c r="D21" s="27" t="inlineStr">
        <is>
          <t>both</t>
        </is>
      </c>
      <c r="E21" s="27" t="inlineStr">
        <is>
          <t>1,1,1,4</t>
        </is>
      </c>
      <c r="F21" s="27" t="inlineStr">
        <is>
          <t>1,1,1,5</t>
        </is>
      </c>
      <c r="G21" s="27" t="n">
        <v>4</v>
      </c>
      <c r="H21" s="27" t="n">
        <v>5</v>
      </c>
      <c r="I21" s="27" t="inlineStr">
        <is>
          <t>|p4|p5|</t>
        </is>
      </c>
      <c r="J21" s="27" t="inlineStr">
        <is>
          <t>seg.1.1.1.4, seg.1.1.1.5</t>
        </is>
      </c>
      <c r="K21" s="27" t="inlineStr">
        <is>
          <t>de+ru+en</t>
        </is>
      </c>
      <c r="L21" s="27" t="inlineStr">
        <is>
          <t>de+ru+en</t>
        </is>
      </c>
      <c r="M21" s="27" t="inlineStr">
        <is>
          <t>de+ru+en</t>
        </is>
      </c>
      <c r="N21" s="27" t="n">
        <v>3</v>
      </c>
      <c r="O21" s="27" t="n">
        <v>1</v>
      </c>
      <c r="P21" s="27" t="n">
        <v>1</v>
      </c>
      <c r="Q21" s="27" t="n">
        <v>5</v>
      </c>
      <c r="R21" s="27" t="n">
        <v>3</v>
      </c>
      <c r="S21" s="27" t="inlineStr">
        <is>
          <t>n.overflow, n.sun, n.triad_zarathustra_eagle_serpent</t>
        </is>
      </c>
      <c r="T21" s="27" t="n">
        <v>1</v>
      </c>
      <c r="U21" s="27" t="inlineStr">
        <is>
          <t>st.p5.overfull_wisdom</t>
        </is>
      </c>
      <c r="V21" s="27" t="n">
        <v>1</v>
      </c>
      <c r="W21" s="27" t="inlineStr">
        <is>
          <t>pr.overflow_can_be_received</t>
        </is>
      </c>
      <c r="X21" s="27" t="inlineStr">
        <is>
          <t>local_chain, principle_support, reasoning_bridge</t>
        </is>
      </c>
      <c r="Y21" s="27" t="inlineStr">
        <is>
          <t>distilled_principle, source_linked</t>
        </is>
      </c>
      <c r="Z21" s="27" t="inlineStr">
        <is>
          <t>внешний overflow затем становится внутренним</t>
        </is>
      </c>
      <c r="AA21" s="27" t="inlineStr">
        <is>
          <t>m032, m033, m034, m038, m110</t>
        </is>
      </c>
    </row>
    <row r="22">
      <c r="A22" s="27" t="inlineStr">
        <is>
          <t>st.p5.overfull_wisdom</t>
        </is>
      </c>
      <c r="B22" s="27" t="inlineStr">
        <is>
          <t>пресыщение мудростью</t>
        </is>
      </c>
      <c r="C22" s="27" t="inlineStr">
        <is>
          <t>state</t>
        </is>
      </c>
      <c r="D22" s="27" t="inlineStr">
        <is>
          <t>both</t>
        </is>
      </c>
      <c r="E22" s="27" t="inlineStr">
        <is>
          <t>1,1,1,4</t>
        </is>
      </c>
      <c r="F22" s="27" t="inlineStr">
        <is>
          <t>1,1,1,6</t>
        </is>
      </c>
      <c r="G22" s="27" t="n">
        <v>4</v>
      </c>
      <c r="H22" s="27" t="n">
        <v>6</v>
      </c>
      <c r="I22" s="27" t="inlineStr">
        <is>
          <t>|p4|p5|p6|</t>
        </is>
      </c>
      <c r="J22" s="27" t="inlineStr">
        <is>
          <t>seg.1.1.1.4, seg.1.1.1.5, seg.1.1.1.6</t>
        </is>
      </c>
      <c r="K22" s="27" t="inlineStr">
        <is>
          <t>de+ru+en</t>
        </is>
      </c>
      <c r="L22" s="27" t="inlineStr">
        <is>
          <t>de+ru+en</t>
        </is>
      </c>
      <c r="M22" s="27" t="inlineStr">
        <is>
          <t>de+ru+en</t>
        </is>
      </c>
      <c r="N22" s="27" t="n">
        <v>4</v>
      </c>
      <c r="O22" s="27" t="n">
        <v>2</v>
      </c>
      <c r="P22" s="27" t="n">
        <v>1</v>
      </c>
      <c r="Q22" s="27" t="n">
        <v>7</v>
      </c>
      <c r="R22" s="27" t="n">
        <v>2</v>
      </c>
      <c r="S22" s="27" t="inlineStr">
        <is>
          <t>n.wisdom, n.zarathustra</t>
        </is>
      </c>
      <c r="T22" s="27" t="n">
        <v>3</v>
      </c>
      <c r="U22" s="27" t="inlineStr">
        <is>
          <t>ev.p4.receive_overflow_from_sun, ev.p5.bee_honey_analogy, ev.p5_6.need_hands_for_giving</t>
        </is>
      </c>
      <c r="V22" s="27" t="n">
        <v>1</v>
      </c>
      <c r="W22" s="27" t="inlineStr">
        <is>
          <t>pr.wisdom_can_overfill</t>
        </is>
      </c>
      <c r="X22" s="27" t="inlineStr">
        <is>
          <t>local_chain, multi_anchor, principle_support, reasoning_bridge</t>
        </is>
      </c>
      <c r="Y22" s="27" t="inlineStr">
        <is>
          <t>distilled_principle, source_linked</t>
        </is>
      </c>
      <c r="Z22" s="27" t="inlineStr">
        <is>
          <t>внешний overflow затем становится внутренним | образ удерживает логику накопления | избыток ищет адресата</t>
        </is>
      </c>
      <c r="AA22" s="27" t="inlineStr">
        <is>
          <t>m038, m039, m040, m041, m045, m048, m112</t>
        </is>
      </c>
    </row>
    <row r="23">
      <c r="A23" s="27" t="inlineStr">
        <is>
          <t>ev.p5.bee_honey_analogy</t>
        </is>
      </c>
      <c r="B23" s="27" t="inlineStr">
        <is>
          <t>аналогия пчелы и мёда</t>
        </is>
      </c>
      <c r="C23" s="27" t="inlineStr">
        <is>
          <t>analogy</t>
        </is>
      </c>
      <c r="D23" s="27" t="inlineStr">
        <is>
          <t>from</t>
        </is>
      </c>
      <c r="E23" s="27" t="inlineStr">
        <is>
          <t>1,1,1,5</t>
        </is>
      </c>
      <c r="F23" s="27" t="inlineStr">
        <is>
          <t>1,1,1,5</t>
        </is>
      </c>
      <c r="G23" s="27" t="n">
        <v>5</v>
      </c>
      <c r="H23" s="27" t="n">
        <v>5</v>
      </c>
      <c r="I23" s="27" t="inlineStr">
        <is>
          <t>|p5|</t>
        </is>
      </c>
      <c r="J23" s="27" t="inlineStr">
        <is>
          <t>seg.1.1.1.5</t>
        </is>
      </c>
      <c r="K23" s="27" t="inlineStr">
        <is>
          <t>de+ru+en</t>
        </is>
      </c>
      <c r="L23" s="27" t="inlineStr"/>
      <c r="M23" s="27" t="inlineStr">
        <is>
          <t>de+ru+en</t>
        </is>
      </c>
      <c r="N23" s="27" t="n">
        <v>2</v>
      </c>
      <c r="O23" s="27" t="n">
        <v>0</v>
      </c>
      <c r="P23" s="27" t="n">
        <v>0</v>
      </c>
      <c r="Q23" s="27" t="n">
        <v>2</v>
      </c>
      <c r="R23" s="27" t="n">
        <v>1</v>
      </c>
      <c r="S23" s="27" t="inlineStr">
        <is>
          <t>n.bee</t>
        </is>
      </c>
      <c r="T23" s="27" t="n">
        <v>1</v>
      </c>
      <c r="U23" s="27" t="inlineStr">
        <is>
          <t>st.p5.overfull_wisdom</t>
        </is>
      </c>
      <c r="V23" s="27" t="n">
        <v>0</v>
      </c>
      <c r="W23" s="27" t="inlineStr"/>
      <c r="X23" s="27" t="inlineStr">
        <is>
          <t>local_chain</t>
        </is>
      </c>
      <c r="Y23" s="27" t="inlineStr">
        <is>
          <t>source_linked</t>
        </is>
      </c>
      <c r="Z23" s="27" t="inlineStr">
        <is>
          <t>образ удерживает логику накопления</t>
        </is>
      </c>
      <c r="AA23" s="27" t="inlineStr">
        <is>
          <t>m041, m042</t>
        </is>
      </c>
    </row>
    <row r="24">
      <c r="A24" s="27" t="inlineStr">
        <is>
          <t>ev.p5_6.need_hands_for_giving</t>
        </is>
      </c>
      <c r="B24" s="27" t="inlineStr">
        <is>
          <t>нужда в простёртых руках ради дара</t>
        </is>
      </c>
      <c r="C24" s="27" t="inlineStr">
        <is>
          <t>event</t>
        </is>
      </c>
      <c r="D24" s="27" t="inlineStr">
        <is>
          <t>both</t>
        </is>
      </c>
      <c r="E24" s="27" t="inlineStr">
        <is>
          <t>1,1,1,5</t>
        </is>
      </c>
      <c r="F24" s="27" t="inlineStr">
        <is>
          <t>1,1,1,6</t>
        </is>
      </c>
      <c r="G24" s="27" t="n">
        <v>5</v>
      </c>
      <c r="H24" s="27" t="n">
        <v>6</v>
      </c>
      <c r="I24" s="27" t="inlineStr">
        <is>
          <t>|p5|p6|</t>
        </is>
      </c>
      <c r="J24" s="27" t="inlineStr">
        <is>
          <t>seg.1.1.1.5, seg.1.1.1.6</t>
        </is>
      </c>
      <c r="K24" s="27" t="inlineStr">
        <is>
          <t>de+ru+en</t>
        </is>
      </c>
      <c r="L24" s="27" t="inlineStr">
        <is>
          <t>de+ru+en</t>
        </is>
      </c>
      <c r="M24" s="27" t="inlineStr">
        <is>
          <t>de+ru+en</t>
        </is>
      </c>
      <c r="N24" s="27" t="n">
        <v>3</v>
      </c>
      <c r="O24" s="27" t="n">
        <v>1</v>
      </c>
      <c r="P24" s="27" t="n">
        <v>1</v>
      </c>
      <c r="Q24" s="27" t="n">
        <v>5</v>
      </c>
      <c r="R24" s="27" t="n">
        <v>2</v>
      </c>
      <c r="S24" s="27" t="inlineStr">
        <is>
          <t>n.outstretched_hands, n.zarathustra</t>
        </is>
      </c>
      <c r="T24" s="27" t="n">
        <v>1</v>
      </c>
      <c r="U24" s="27" t="inlineStr">
        <is>
          <t>st.p5.overfull_wisdom</t>
        </is>
      </c>
      <c r="V24" s="27" t="n">
        <v>1</v>
      </c>
      <c r="W24" s="27" t="inlineStr">
        <is>
          <t>pr.excess_seeks_recipients</t>
        </is>
      </c>
      <c r="X24" s="27" t="inlineStr">
        <is>
          <t>multi_anchor, principle_support</t>
        </is>
      </c>
      <c r="Y24" s="27" t="inlineStr">
        <is>
          <t>distilled_principle, source_linked</t>
        </is>
      </c>
      <c r="Z24" s="27" t="inlineStr">
        <is>
          <t>избыток ищет адресата</t>
        </is>
      </c>
      <c r="AA24" s="27" t="inlineStr">
        <is>
          <t>m045, m046, m047, m048, m113</t>
        </is>
      </c>
    </row>
    <row r="25">
      <c r="A25" s="27" t="inlineStr">
        <is>
          <t>ev.p6.bestow_and_distribute</t>
        </is>
      </c>
      <c r="B25" s="27" t="inlineStr">
        <is>
          <t>одаривать и раздавать</t>
        </is>
      </c>
      <c r="C25" s="27" t="inlineStr">
        <is>
          <t>event</t>
        </is>
      </c>
      <c r="D25" s="27" t="inlineStr">
        <is>
          <t>both</t>
        </is>
      </c>
      <c r="E25" s="27" t="inlineStr">
        <is>
          <t>1,1,1,6</t>
        </is>
      </c>
      <c r="F25" s="27" t="inlineStr">
        <is>
          <t>1,1,1,7</t>
        </is>
      </c>
      <c r="G25" s="27" t="n">
        <v>6</v>
      </c>
      <c r="H25" s="27" t="n">
        <v>7</v>
      </c>
      <c r="I25" s="27" t="inlineStr">
        <is>
          <t>|p6|p7|</t>
        </is>
      </c>
      <c r="J25" s="27" t="inlineStr">
        <is>
          <t>seg.1.1.1.6, seg.1.1.1.7</t>
        </is>
      </c>
      <c r="K25" s="27" t="inlineStr">
        <is>
          <t>de+ru+en</t>
        </is>
      </c>
      <c r="L25" s="27" t="inlineStr">
        <is>
          <t>de+ru+en</t>
        </is>
      </c>
      <c r="M25" s="27" t="inlineStr">
        <is>
          <t>de+ru+en</t>
        </is>
      </c>
      <c r="N25" s="27" t="n">
        <v>6</v>
      </c>
      <c r="O25" s="27" t="n">
        <v>1</v>
      </c>
      <c r="P25" s="27" t="n">
        <v>1</v>
      </c>
      <c r="Q25" s="27" t="n">
        <v>8</v>
      </c>
      <c r="R25" s="27" t="n">
        <v>4</v>
      </c>
      <c r="S25" s="27" t="inlineStr">
        <is>
          <t>n.bestowal, n.distribution, n.humans, n.zarathustra</t>
        </is>
      </c>
      <c r="T25" s="27" t="n">
        <v>2</v>
      </c>
      <c r="U25" s="27" t="inlineStr">
        <is>
          <t>ev.p7.descend_into_depth, st.p6.revaluation_of_joy</t>
        </is>
      </c>
      <c r="V25" s="27" t="n">
        <v>1</v>
      </c>
      <c r="W25" s="27" t="inlineStr">
        <is>
          <t>pr.gift_has_dual_mode</t>
        </is>
      </c>
      <c r="X25" s="27" t="inlineStr">
        <is>
          <t>local_chain, multi_anchor, principle_support, reasoning_bridge</t>
        </is>
      </c>
      <c r="Y25" s="27" t="inlineStr">
        <is>
          <t>distilled_principle, source_linked</t>
        </is>
      </c>
      <c r="Z25" s="27" t="inlineStr">
        <is>
          <t>дар требует движения вниз</t>
        </is>
      </c>
      <c r="AA25" s="27" t="inlineStr">
        <is>
          <t>m049, m050, m051, m052, m053, m060, m063, m114</t>
        </is>
      </c>
    </row>
    <row r="26">
      <c r="A26" s="27" t="inlineStr">
        <is>
          <t>ev.p7.descend_into_depth</t>
        </is>
      </c>
      <c r="B26" s="27" t="inlineStr">
        <is>
          <t>спуск в глубину</t>
        </is>
      </c>
      <c r="C26" s="27" t="inlineStr">
        <is>
          <t>event</t>
        </is>
      </c>
      <c r="D26" s="27" t="inlineStr">
        <is>
          <t>both</t>
        </is>
      </c>
      <c r="E26" s="27" t="inlineStr">
        <is>
          <t>1,1,1,6</t>
        </is>
      </c>
      <c r="F26" s="27" t="inlineStr">
        <is>
          <t>1,1,1,8</t>
        </is>
      </c>
      <c r="G26" s="27" t="n">
        <v>6</v>
      </c>
      <c r="H26" s="27" t="n">
        <v>8</v>
      </c>
      <c r="I26" s="27" t="inlineStr">
        <is>
          <t>|p6|p7|p8|</t>
        </is>
      </c>
      <c r="J26" s="27" t="inlineStr">
        <is>
          <t>seg.1.1.1.6, seg.1.1.1.7, seg.1.1.1.8</t>
        </is>
      </c>
      <c r="K26" s="27" t="inlineStr">
        <is>
          <t>de+ru+en</t>
        </is>
      </c>
      <c r="L26" s="27" t="inlineStr">
        <is>
          <t>de+ru+en</t>
        </is>
      </c>
      <c r="M26" s="27" t="inlineStr">
        <is>
          <t>de+ru+en</t>
        </is>
      </c>
      <c r="N26" s="27" t="n">
        <v>4</v>
      </c>
      <c r="O26" s="27" t="n">
        <v>1</v>
      </c>
      <c r="P26" s="27" t="n">
        <v>1</v>
      </c>
      <c r="Q26" s="27" t="n">
        <v>6</v>
      </c>
      <c r="R26" s="27" t="n">
        <v>2</v>
      </c>
      <c r="S26" s="27" t="inlineStr">
        <is>
          <t>n.depth, n.zarathustra</t>
        </is>
      </c>
      <c r="T26" s="27" t="n">
        <v>2</v>
      </c>
      <c r="U26" s="27" t="inlineStr">
        <is>
          <t>ev.p6.bestow_and_distribute, ev.p7_8.descent_named_as_go_under</t>
        </is>
      </c>
      <c r="V26" s="27" t="n">
        <v>1</v>
      </c>
      <c r="W26" s="27" t="inlineStr">
        <is>
          <t>pr.descent_is_required_by_gift</t>
        </is>
      </c>
      <c r="X26" s="27" t="inlineStr">
        <is>
          <t>local_chain, multi_anchor, principle_support, reasoning_bridge</t>
        </is>
      </c>
      <c r="Y26" s="27" t="inlineStr">
        <is>
          <t>distilled_principle, source_linked</t>
        </is>
      </c>
      <c r="Z26" s="27" t="inlineStr">
        <is>
          <t>дар требует движения вниз | дар и катабасис сцеплены</t>
        </is>
      </c>
      <c r="AA26" s="27" t="inlineStr">
        <is>
          <t>m060, m061, m062, m063, m069, m115</t>
        </is>
      </c>
    </row>
    <row r="27">
      <c r="A27" s="27" t="inlineStr">
        <is>
          <t>st.p6.revaluation_of_joy</t>
        </is>
      </c>
      <c r="B27" s="27" t="inlineStr">
        <is>
          <t>переоценка радости и меры</t>
        </is>
      </c>
      <c r="C27" s="27" t="inlineStr">
        <is>
          <t>state</t>
        </is>
      </c>
      <c r="D27" s="27" t="inlineStr">
        <is>
          <t>both</t>
        </is>
      </c>
      <c r="E27" s="27" t="inlineStr">
        <is>
          <t>1,1,1,6</t>
        </is>
      </c>
      <c r="F27" s="27" t="inlineStr">
        <is>
          <t>1,1,1,6</t>
        </is>
      </c>
      <c r="G27" s="27" t="n">
        <v>6</v>
      </c>
      <c r="H27" s="27" t="n">
        <v>6</v>
      </c>
      <c r="I27" s="27" t="inlineStr">
        <is>
          <t>|p6|</t>
        </is>
      </c>
      <c r="J27" s="27" t="inlineStr">
        <is>
          <t>seg.1.1.1.6</t>
        </is>
      </c>
      <c r="K27" s="27" t="inlineStr">
        <is>
          <t>de+ru+en</t>
        </is>
      </c>
      <c r="L27" s="27" t="inlineStr"/>
      <c r="M27" s="27" t="inlineStr">
        <is>
          <t>de+ru+en</t>
        </is>
      </c>
      <c r="N27" s="27" t="n">
        <v>3</v>
      </c>
      <c r="O27" s="27" t="n">
        <v>0</v>
      </c>
      <c r="P27" s="27" t="n">
        <v>0</v>
      </c>
      <c r="Q27" s="27" t="n">
        <v>3</v>
      </c>
      <c r="R27" s="27" t="n">
        <v>2</v>
      </c>
      <c r="S27" s="27" t="inlineStr">
        <is>
          <t>n.poor_among_humans, n.wise_among_humans</t>
        </is>
      </c>
      <c r="T27" s="27" t="n">
        <v>1</v>
      </c>
      <c r="U27" s="27" t="inlineStr">
        <is>
          <t>ev.p6.bestow_and_distribute</t>
        </is>
      </c>
      <c r="V27" s="27" t="n">
        <v>0</v>
      </c>
      <c r="W27" s="27" t="inlineStr"/>
      <c r="X27" s="27" t="inlineStr">
        <is>
          <t>local_chain</t>
        </is>
      </c>
      <c r="Y27" s="27" t="inlineStr">
        <is>
          <t>source_linked</t>
        </is>
      </c>
      <c r="Z27" s="27" t="inlineStr"/>
      <c r="AA27" s="27" t="inlineStr">
        <is>
          <t>m053, m054, m057</t>
        </is>
      </c>
    </row>
    <row r="28">
      <c r="A28" s="27" t="inlineStr">
        <is>
          <t>ev.p7.sun_evening_underworld_light</t>
        </is>
      </c>
      <c r="B28" s="27" t="inlineStr">
        <is>
          <t>вечерний ход солнца за море с несением света</t>
        </is>
      </c>
      <c r="C28" s="27" t="inlineStr">
        <is>
          <t>event</t>
        </is>
      </c>
      <c r="D28" s="27" t="inlineStr">
        <is>
          <t>both</t>
        </is>
      </c>
      <c r="E28" s="27" t="inlineStr">
        <is>
          <t>1,1,1,7</t>
        </is>
      </c>
      <c r="F28" s="27" t="inlineStr">
        <is>
          <t>1,1,1,8</t>
        </is>
      </c>
      <c r="G28" s="27" t="n">
        <v>7</v>
      </c>
      <c r="H28" s="27" t="n">
        <v>8</v>
      </c>
      <c r="I28" s="27" t="inlineStr">
        <is>
          <t>|p7|p8|</t>
        </is>
      </c>
      <c r="J28" s="27" t="inlineStr">
        <is>
          <t>seg.1.1.1.7, seg.1.1.1.8</t>
        </is>
      </c>
      <c r="K28" s="27" t="inlineStr">
        <is>
          <t>de+ru+en</t>
        </is>
      </c>
      <c r="L28" s="27" t="inlineStr"/>
      <c r="M28" s="27" t="inlineStr">
        <is>
          <t>de+ru+en</t>
        </is>
      </c>
      <c r="N28" s="27" t="n">
        <v>6</v>
      </c>
      <c r="O28" s="27" t="n">
        <v>0</v>
      </c>
      <c r="P28" s="27" t="n">
        <v>0</v>
      </c>
      <c r="Q28" s="27" t="n">
        <v>6</v>
      </c>
      <c r="R28" s="27" t="n">
        <v>5</v>
      </c>
      <c r="S28" s="27" t="inlineStr">
        <is>
          <t>n.evening, n.light, n.sea, n.sun, n.underworld</t>
        </is>
      </c>
      <c r="T28" s="27" t="n">
        <v>1</v>
      </c>
      <c r="U28" s="27" t="inlineStr">
        <is>
          <t>ev.p8.go_under_to_humans</t>
        </is>
      </c>
      <c r="V28" s="27" t="n">
        <v>0</v>
      </c>
      <c r="W28" s="27" t="inlineStr"/>
      <c r="X28" s="27" t="inlineStr">
        <is>
          <t>local_chain, reasoning_bridge</t>
        </is>
      </c>
      <c r="Y28" s="27" t="inlineStr">
        <is>
          <t>source_linked</t>
        </is>
      </c>
      <c r="Z28" s="27" t="inlineStr"/>
      <c r="AA28" s="27" t="inlineStr">
        <is>
          <t>m064, m065, m066, m067, m068, m074</t>
        </is>
      </c>
    </row>
    <row r="29">
      <c r="A29" s="27" t="inlineStr">
        <is>
          <t>ev.p7_8.descent_named_as_go_under</t>
        </is>
      </c>
      <c r="B29" s="27" t="inlineStr">
        <is>
          <t>нисхождение, названное закатом</t>
        </is>
      </c>
      <c r="C29" s="27" t="inlineStr">
        <is>
          <t>event</t>
        </is>
      </c>
      <c r="D29" s="27" t="inlineStr">
        <is>
          <t>both</t>
        </is>
      </c>
      <c r="E29" s="27" t="inlineStr">
        <is>
          <t>1,1,1,7</t>
        </is>
      </c>
      <c r="F29" s="27" t="inlineStr">
        <is>
          <t>1,1,1,8</t>
        </is>
      </c>
      <c r="G29" s="27" t="n">
        <v>7</v>
      </c>
      <c r="H29" s="27" t="n">
        <v>8</v>
      </c>
      <c r="I29" s="27" t="inlineStr">
        <is>
          <t>|p7|p8|</t>
        </is>
      </c>
      <c r="J29" s="27" t="inlineStr">
        <is>
          <t>seg.1.1.1.7, seg.1.1.1.8</t>
        </is>
      </c>
      <c r="K29" s="27" t="inlineStr">
        <is>
          <t>de+ru+en</t>
        </is>
      </c>
      <c r="L29" s="27" t="inlineStr">
        <is>
          <t>de+ru+en</t>
        </is>
      </c>
      <c r="M29" s="27" t="inlineStr">
        <is>
          <t>de+ru+en</t>
        </is>
      </c>
      <c r="N29" s="27" t="n">
        <v>2</v>
      </c>
      <c r="O29" s="27" t="n">
        <v>0</v>
      </c>
      <c r="P29" s="27" t="n">
        <v>1</v>
      </c>
      <c r="Q29" s="27" t="n">
        <v>3</v>
      </c>
      <c r="R29" s="27" t="n">
        <v>1</v>
      </c>
      <c r="S29" s="27" t="inlineStr">
        <is>
          <t>n.go_under</t>
        </is>
      </c>
      <c r="T29" s="27" t="n">
        <v>1</v>
      </c>
      <c r="U29" s="27" t="inlineStr">
        <is>
          <t>ev.p7.descend_into_depth</t>
        </is>
      </c>
      <c r="V29" s="27" t="n">
        <v>1</v>
      </c>
      <c r="W29" s="27" t="inlineStr">
        <is>
          <t>pr.go_under_is_human_name</t>
        </is>
      </c>
      <c r="X29" s="27" t="inlineStr">
        <is>
          <t>multi_anchor, principle_support</t>
        </is>
      </c>
      <c r="Y29" s="27" t="inlineStr">
        <is>
          <t>distilled_principle, source_linked</t>
        </is>
      </c>
      <c r="Z29" s="27" t="inlineStr"/>
      <c r="AA29" s="27" t="inlineStr">
        <is>
          <t>m069, m070, m116</t>
        </is>
      </c>
    </row>
    <row r="30">
      <c r="A30" s="27" t="inlineStr">
        <is>
          <t>ev.p8.go_under_to_humans</t>
        </is>
      </c>
      <c r="B30" s="27" t="inlineStr">
        <is>
          <t>закатиться к людям</t>
        </is>
      </c>
      <c r="C30" s="27" t="inlineStr">
        <is>
          <t>event</t>
        </is>
      </c>
      <c r="D30" s="27" t="inlineStr">
        <is>
          <t>both</t>
        </is>
      </c>
      <c r="E30" s="27" t="inlineStr">
        <is>
          <t>1,1,1,7</t>
        </is>
      </c>
      <c r="F30" s="27" t="inlineStr">
        <is>
          <t>1,1,1,12</t>
        </is>
      </c>
      <c r="G30" s="27" t="n">
        <v>7</v>
      </c>
      <c r="H30" s="27" t="n">
        <v>12</v>
      </c>
      <c r="I30" s="27" t="inlineStr">
        <is>
          <t>|p7|p8|p9|p12|</t>
        </is>
      </c>
      <c r="J30" s="27" t="inlineStr">
        <is>
          <t>seg.1.1.1.12, seg.1.1.1.7, seg.1.1.1.8, seg.1.1.1.9</t>
        </is>
      </c>
      <c r="K30" s="27" t="inlineStr">
        <is>
          <t>de+ru+en</t>
        </is>
      </c>
      <c r="L30" s="27" t="inlineStr"/>
      <c r="M30" s="27" t="inlineStr">
        <is>
          <t>de+ru+en</t>
        </is>
      </c>
      <c r="N30" s="27" t="n">
        <v>3</v>
      </c>
      <c r="O30" s="27" t="n">
        <v>2</v>
      </c>
      <c r="P30" s="27" t="n">
        <v>0</v>
      </c>
      <c r="Q30" s="27" t="n">
        <v>5</v>
      </c>
      <c r="R30" s="27" t="n">
        <v>2</v>
      </c>
      <c r="S30" s="27" t="inlineStr">
        <is>
          <t>n.humans, n.zarathustra</t>
        </is>
      </c>
      <c r="T30" s="27" t="n">
        <v>3</v>
      </c>
      <c r="U30" s="27" t="inlineStr">
        <is>
          <t>ev.p12.beginning_of_zarathustra_going_under, ev.p7.sun_evening_underworld_light, ev.p9.request_blessing_from_tranquil_eye</t>
        </is>
      </c>
      <c r="V30" s="27" t="n">
        <v>0</v>
      </c>
      <c r="W30" s="27" t="inlineStr"/>
      <c r="X30" s="27" t="inlineStr">
        <is>
          <t>local_chain, reasoning_bridge</t>
        </is>
      </c>
      <c r="Y30" s="27" t="inlineStr">
        <is>
          <t>source_linked</t>
        </is>
      </c>
      <c r="Z30" s="27" t="inlineStr">
        <is>
          <t>намеченный спуск становится начавшимся путем</t>
        </is>
      </c>
      <c r="AA30" s="27" t="inlineStr">
        <is>
          <t>m072, m073, m074, m075, m106</t>
        </is>
      </c>
    </row>
    <row r="31">
      <c r="A31" s="27" t="inlineStr">
        <is>
          <t>ev.p12.beginning_of_zarathustra_going_under</t>
        </is>
      </c>
      <c r="B31" s="27" t="inlineStr">
        <is>
          <t>начало заката Заратустры</t>
        </is>
      </c>
      <c r="C31" s="27" t="inlineStr">
        <is>
          <t>event</t>
        </is>
      </c>
      <c r="D31" s="27" t="inlineStr">
        <is>
          <t>both</t>
        </is>
      </c>
      <c r="E31" s="27" t="inlineStr">
        <is>
          <t>1,1,1,8</t>
        </is>
      </c>
      <c r="F31" s="27" t="inlineStr">
        <is>
          <t>1,1,1,12</t>
        </is>
      </c>
      <c r="G31" s="27" t="n">
        <v>8</v>
      </c>
      <c r="H31" s="27" t="n">
        <v>12</v>
      </c>
      <c r="I31" s="27" t="inlineStr">
        <is>
          <t>|p8|p11|p12|</t>
        </is>
      </c>
      <c r="J31" s="27" t="inlineStr">
        <is>
          <t>seg.1.1.1.11, seg.1.1.1.12, seg.1.1.1.8</t>
        </is>
      </c>
      <c r="K31" s="27" t="inlineStr">
        <is>
          <t>de+ru+en</t>
        </is>
      </c>
      <c r="L31" s="27" t="inlineStr">
        <is>
          <t>de+ru+en</t>
        </is>
      </c>
      <c r="M31" s="27" t="inlineStr">
        <is>
          <t>de+ru+en</t>
        </is>
      </c>
      <c r="N31" s="27" t="n">
        <v>2</v>
      </c>
      <c r="O31" s="27" t="n">
        <v>2</v>
      </c>
      <c r="P31" s="27" t="n">
        <v>1</v>
      </c>
      <c r="Q31" s="27" t="n">
        <v>5</v>
      </c>
      <c r="R31" s="27" t="n">
        <v>2</v>
      </c>
      <c r="S31" s="27" t="inlineStr">
        <is>
          <t>n.go_under, n.zarathustra</t>
        </is>
      </c>
      <c r="T31" s="27" t="n">
        <v>2</v>
      </c>
      <c r="U31" s="27" t="inlineStr">
        <is>
          <t>ev.p8.go_under_to_humans, st.p11.zarathustra_wants_to_become_human_again</t>
        </is>
      </c>
      <c r="V31" s="27" t="n">
        <v>1</v>
      </c>
      <c r="W31" s="27" t="inlineStr">
        <is>
          <t>pr.beginning_through_going_under</t>
        </is>
      </c>
      <c r="X31" s="27" t="inlineStr">
        <is>
          <t>local_chain, principle_support, reasoning_bridge</t>
        </is>
      </c>
      <c r="Y31" s="27" t="inlineStr">
        <is>
          <t>distilled_principle, source_linked</t>
        </is>
      </c>
      <c r="Z31" s="27" t="inlineStr">
        <is>
          <t>намеченный спуск становится начавшимся путем</t>
        </is>
      </c>
      <c r="AA31" s="27" t="inlineStr">
        <is>
          <t>m103, m104, m105, m106, m120</t>
        </is>
      </c>
    </row>
    <row r="32">
      <c r="A32" s="27" t="inlineStr">
        <is>
          <t>ev.p9.request_blessing_from_tranquil_eye</t>
        </is>
      </c>
      <c r="B32" s="27" t="inlineStr">
        <is>
          <t>просьба о благословении к спокойному оку</t>
        </is>
      </c>
      <c r="C32" s="27" t="inlineStr">
        <is>
          <t>event</t>
        </is>
      </c>
      <c r="D32" s="27" t="inlineStr">
        <is>
          <t>both</t>
        </is>
      </c>
      <c r="E32" s="27" t="inlineStr">
        <is>
          <t>1,1,1,8</t>
        </is>
      </c>
      <c r="F32" s="27" t="inlineStr">
        <is>
          <t>1,1,1,10</t>
        </is>
      </c>
      <c r="G32" s="27" t="n">
        <v>8</v>
      </c>
      <c r="H32" s="27" t="n">
        <v>10</v>
      </c>
      <c r="I32" s="27" t="inlineStr">
        <is>
          <t>|p8|p9|p10|</t>
        </is>
      </c>
      <c r="J32" s="27" t="inlineStr">
        <is>
          <t>seg.1.1.1.10, seg.1.1.1.8, seg.1.1.1.9</t>
        </is>
      </c>
      <c r="K32" s="27" t="inlineStr">
        <is>
          <t>de+ru+en</t>
        </is>
      </c>
      <c r="L32" s="27" t="inlineStr"/>
      <c r="M32" s="27" t="inlineStr">
        <is>
          <t>de+ru+en</t>
        </is>
      </c>
      <c r="N32" s="27" t="n">
        <v>3</v>
      </c>
      <c r="O32" s="27" t="n">
        <v>2</v>
      </c>
      <c r="P32" s="27" t="n">
        <v>0</v>
      </c>
      <c r="Q32" s="27" t="n">
        <v>5</v>
      </c>
      <c r="R32" s="27" t="n">
        <v>3</v>
      </c>
      <c r="S32" s="27" t="inlineStr">
        <is>
          <t>n.blessing, n.tranquil_eye, n.zarathustra</t>
        </is>
      </c>
      <c r="T32" s="27" t="n">
        <v>2</v>
      </c>
      <c r="U32" s="27" t="inlineStr">
        <is>
          <t>ev.p10.request_blessing_of_cup, ev.p8.go_under_to_humans</t>
        </is>
      </c>
      <c r="V32" s="27" t="n">
        <v>0</v>
      </c>
      <c r="W32" s="27" t="inlineStr"/>
      <c r="X32" s="27" t="inlineStr">
        <is>
          <t>local_chain, reasoning_bridge</t>
        </is>
      </c>
      <c r="Y32" s="27" t="inlineStr">
        <is>
          <t>source_linked</t>
        </is>
      </c>
      <c r="Z32" s="27" t="inlineStr"/>
      <c r="AA32" s="27" t="inlineStr">
        <is>
          <t>m075, m076, m077, m082, m083</t>
        </is>
      </c>
    </row>
    <row r="33">
      <c r="A33" s="27" t="inlineStr">
        <is>
          <t>ev.p10.request_blessing_of_cup</t>
        </is>
      </c>
      <c r="B33" s="27" t="inlineStr">
        <is>
          <t>просьба благословить чашу</t>
        </is>
      </c>
      <c r="C33" s="27" t="inlineStr">
        <is>
          <t>event</t>
        </is>
      </c>
      <c r="D33" s="27" t="inlineStr">
        <is>
          <t>both</t>
        </is>
      </c>
      <c r="E33" s="27" t="inlineStr">
        <is>
          <t>1,1,1,9</t>
        </is>
      </c>
      <c r="F33" s="27" t="inlineStr">
        <is>
          <t>1,1,1,11</t>
        </is>
      </c>
      <c r="G33" s="27" t="n">
        <v>9</v>
      </c>
      <c r="H33" s="27" t="n">
        <v>11</v>
      </c>
      <c r="I33" s="27" t="inlineStr">
        <is>
          <t>|p9|p10|p11|</t>
        </is>
      </c>
      <c r="J33" s="27" t="inlineStr">
        <is>
          <t>seg.1.1.1.10, seg.1.1.1.11, seg.1.1.1.9</t>
        </is>
      </c>
      <c r="K33" s="27" t="inlineStr">
        <is>
          <t>de+ru+en</t>
        </is>
      </c>
      <c r="L33" s="27" t="inlineStr"/>
      <c r="M33" s="27" t="inlineStr">
        <is>
          <t>de+ru+en</t>
        </is>
      </c>
      <c r="N33" s="27" t="n">
        <v>3</v>
      </c>
      <c r="O33" s="27" t="n">
        <v>2</v>
      </c>
      <c r="P33" s="27" t="n">
        <v>0</v>
      </c>
      <c r="Q33" s="27" t="n">
        <v>5</v>
      </c>
      <c r="R33" s="27" t="n">
        <v>3</v>
      </c>
      <c r="S33" s="27" t="inlineStr">
        <is>
          <t>n.cup, n.tranquil_eye, n.zarathustra</t>
        </is>
      </c>
      <c r="T33" s="27" t="n">
        <v>2</v>
      </c>
      <c r="U33" s="27" t="inlineStr">
        <is>
          <t>ev.p9.request_blessing_from_tranquil_eye, st.p11.cup_wants_to_empty_again</t>
        </is>
      </c>
      <c r="V33" s="27" t="n">
        <v>0</v>
      </c>
      <c r="W33" s="27" t="inlineStr"/>
      <c r="X33" s="27" t="inlineStr">
        <is>
          <t>local_chain, reasoning_bridge</t>
        </is>
      </c>
      <c r="Y33" s="27" t="inlineStr">
        <is>
          <t>source_linked</t>
        </is>
      </c>
      <c r="Z33" s="27" t="inlineStr"/>
      <c r="AA33" s="27" t="inlineStr">
        <is>
          <t>m083, m084, m085, m086, m097</t>
        </is>
      </c>
    </row>
    <row r="34">
      <c r="A34" s="27" t="inlineStr">
        <is>
          <t>st.p9.tranquil_eye_without_envy</t>
        </is>
      </c>
      <c r="B34" s="27" t="inlineStr">
        <is>
          <t>спокойное око без зависти</t>
        </is>
      </c>
      <c r="C34" s="27" t="inlineStr">
        <is>
          <t>state</t>
        </is>
      </c>
      <c r="D34" s="27" t="inlineStr">
        <is>
          <t>both</t>
        </is>
      </c>
      <c r="E34" s="27" t="inlineStr">
        <is>
          <t>1,1,1,9</t>
        </is>
      </c>
      <c r="F34" s="27" t="inlineStr">
        <is>
          <t>1,1,1,9</t>
        </is>
      </c>
      <c r="G34" s="27" t="n">
        <v>9</v>
      </c>
      <c r="H34" s="27" t="n">
        <v>9</v>
      </c>
      <c r="I34" s="27" t="inlineStr">
        <is>
          <t>|p9|</t>
        </is>
      </c>
      <c r="J34" s="27" t="inlineStr">
        <is>
          <t>seg.1.1.1.9</t>
        </is>
      </c>
      <c r="K34" s="27" t="inlineStr">
        <is>
          <t>de+ru+en</t>
        </is>
      </c>
      <c r="L34" s="27" t="inlineStr">
        <is>
          <t>de+ru+en</t>
        </is>
      </c>
      <c r="M34" s="27" t="inlineStr">
        <is>
          <t>de+ru+en</t>
        </is>
      </c>
      <c r="N34" s="27" t="n">
        <v>3</v>
      </c>
      <c r="O34" s="27" t="n">
        <v>0</v>
      </c>
      <c r="P34" s="27" t="n">
        <v>1</v>
      </c>
      <c r="Q34" s="27" t="n">
        <v>4</v>
      </c>
      <c r="R34" s="27" t="n">
        <v>3</v>
      </c>
      <c r="S34" s="27" t="inlineStr">
        <is>
          <t>n.all_too_great_happiness, n.envy, n.tranquil_eye</t>
        </is>
      </c>
      <c r="T34" s="27" t="n">
        <v>0</v>
      </c>
      <c r="U34" s="27" t="inlineStr"/>
      <c r="V34" s="27" t="n">
        <v>1</v>
      </c>
      <c r="W34" s="27" t="inlineStr">
        <is>
          <t>pr.tranquil_vision_without_envy</t>
        </is>
      </c>
      <c r="X34" s="27" t="inlineStr">
        <is>
          <t>local_chain, principle_support</t>
        </is>
      </c>
      <c r="Y34" s="27" t="inlineStr">
        <is>
          <t>distilled_principle, source_linked</t>
        </is>
      </c>
      <c r="Z34" s="27" t="inlineStr"/>
      <c r="AA34" s="27" t="inlineStr">
        <is>
          <t>m079, m080, m081, m117</t>
        </is>
      </c>
    </row>
    <row r="35">
      <c r="A35" s="27" t="inlineStr">
        <is>
          <t>ev.p10.golden_water_flows</t>
        </is>
      </c>
      <c r="B35" s="27" t="inlineStr">
        <is>
          <t>золотистая влага течёт из чаши</t>
        </is>
      </c>
      <c r="C35" s="27" t="inlineStr">
        <is>
          <t>event</t>
        </is>
      </c>
      <c r="D35" s="27" t="inlineStr">
        <is>
          <t>both</t>
        </is>
      </c>
      <c r="E35" s="27" t="inlineStr">
        <is>
          <t>1,1,1,10</t>
        </is>
      </c>
      <c r="F35" s="27" t="inlineStr">
        <is>
          <t>1,1,1,10</t>
        </is>
      </c>
      <c r="G35" s="27" t="n">
        <v>10</v>
      </c>
      <c r="H35" s="27" t="n">
        <v>10</v>
      </c>
      <c r="I35" s="27" t="inlineStr">
        <is>
          <t>|p10|</t>
        </is>
      </c>
      <c r="J35" s="27" t="inlineStr">
        <is>
          <t>seg.1.1.1.10</t>
        </is>
      </c>
      <c r="K35" s="27" t="inlineStr">
        <is>
          <t>de+ru+en</t>
        </is>
      </c>
      <c r="L35" s="27" t="inlineStr"/>
      <c r="M35" s="27" t="inlineStr">
        <is>
          <t>de+ru+en</t>
        </is>
      </c>
      <c r="N35" s="27" t="n">
        <v>4</v>
      </c>
      <c r="O35" s="27" t="n">
        <v>1</v>
      </c>
      <c r="P35" s="27" t="n">
        <v>0</v>
      </c>
      <c r="Q35" s="27" t="n">
        <v>5</v>
      </c>
      <c r="R35" s="27" t="n">
        <v>3</v>
      </c>
      <c r="S35" s="27" t="inlineStr">
        <is>
          <t>n.cup, n.gold, n.water</t>
        </is>
      </c>
      <c r="T35" s="27" t="n">
        <v>1</v>
      </c>
      <c r="U35" s="27" t="inlineStr">
        <is>
          <t>ev.p10.reflection_of_bliss_is_carried</t>
        </is>
      </c>
      <c r="V35" s="27" t="n">
        <v>0</v>
      </c>
      <c r="W35" s="27" t="inlineStr"/>
      <c r="X35" s="27" t="inlineStr">
        <is>
          <t>local_chain, reasoning_bridge</t>
        </is>
      </c>
      <c r="Y35" s="27" t="inlineStr">
        <is>
          <t>source_linked</t>
        </is>
      </c>
      <c r="Z35" s="27" t="inlineStr"/>
      <c r="AA35" s="27" t="inlineStr">
        <is>
          <t>m089, m090, m091, m092, m093</t>
        </is>
      </c>
    </row>
    <row r="36">
      <c r="A36" s="27" t="inlineStr">
        <is>
          <t>ev.p10.reflection_of_bliss_is_carried</t>
        </is>
      </c>
      <c r="B36" s="27" t="inlineStr">
        <is>
          <t>отблеск отрады несётся повсюду</t>
        </is>
      </c>
      <c r="C36" s="27" t="inlineStr">
        <is>
          <t>event</t>
        </is>
      </c>
      <c r="D36" s="27" t="inlineStr">
        <is>
          <t>both</t>
        </is>
      </c>
      <c r="E36" s="27" t="inlineStr">
        <is>
          <t>1,1,1,10</t>
        </is>
      </c>
      <c r="F36" s="27" t="inlineStr">
        <is>
          <t>1,1,1,10</t>
        </is>
      </c>
      <c r="G36" s="27" t="n">
        <v>10</v>
      </c>
      <c r="H36" s="27" t="n">
        <v>10</v>
      </c>
      <c r="I36" s="27" t="inlineStr">
        <is>
          <t>|p10|</t>
        </is>
      </c>
      <c r="J36" s="27" t="inlineStr">
        <is>
          <t>seg.1.1.1.10</t>
        </is>
      </c>
      <c r="K36" s="27" t="inlineStr">
        <is>
          <t>de+ru+en</t>
        </is>
      </c>
      <c r="L36" s="27" t="inlineStr">
        <is>
          <t>de+ru+en</t>
        </is>
      </c>
      <c r="M36" s="27" t="inlineStr">
        <is>
          <t>de+ru+en</t>
        </is>
      </c>
      <c r="N36" s="27" t="n">
        <v>1</v>
      </c>
      <c r="O36" s="27" t="n">
        <v>1</v>
      </c>
      <c r="P36" s="27" t="n">
        <v>1</v>
      </c>
      <c r="Q36" s="27" t="n">
        <v>3</v>
      </c>
      <c r="R36" s="27" t="n">
        <v>1</v>
      </c>
      <c r="S36" s="27" t="inlineStr">
        <is>
          <t>n.reflection</t>
        </is>
      </c>
      <c r="T36" s="27" t="n">
        <v>1</v>
      </c>
      <c r="U36" s="27" t="inlineStr">
        <is>
          <t>ev.p10.golden_water_flows</t>
        </is>
      </c>
      <c r="V36" s="27" t="n">
        <v>1</v>
      </c>
      <c r="W36" s="27" t="inlineStr">
        <is>
          <t>pr.reflected_light_can_be_carried</t>
        </is>
      </c>
      <c r="X36" s="27" t="inlineStr">
        <is>
          <t>local_chain, principle_support, reasoning_bridge</t>
        </is>
      </c>
      <c r="Y36" s="27" t="inlineStr">
        <is>
          <t>distilled_principle, source_linked</t>
        </is>
      </c>
      <c r="Z36" s="27" t="inlineStr"/>
      <c r="AA36" s="27" t="inlineStr">
        <is>
          <t>m093, m094, m118</t>
        </is>
      </c>
    </row>
    <row r="37">
      <c r="A37" s="27" t="inlineStr">
        <is>
          <t>st.p10.cup_wants_to_overflow</t>
        </is>
      </c>
      <c r="B37" s="27" t="inlineStr">
        <is>
          <t>чаша хочет перелиться</t>
        </is>
      </c>
      <c r="C37" s="27" t="inlineStr">
        <is>
          <t>state</t>
        </is>
      </c>
      <c r="D37" s="27" t="inlineStr">
        <is>
          <t>both</t>
        </is>
      </c>
      <c r="E37" s="27" t="inlineStr">
        <is>
          <t>1,1,1,10</t>
        </is>
      </c>
      <c r="F37" s="27" t="inlineStr">
        <is>
          <t>1,1,1,10</t>
        </is>
      </c>
      <c r="G37" s="27" t="n">
        <v>10</v>
      </c>
      <c r="H37" s="27" t="n">
        <v>10</v>
      </c>
      <c r="I37" s="27" t="inlineStr">
        <is>
          <t>|p10|</t>
        </is>
      </c>
      <c r="J37" s="27" t="inlineStr">
        <is>
          <t>seg.1.1.1.10</t>
        </is>
      </c>
      <c r="K37" s="27" t="inlineStr">
        <is>
          <t>de+ru+en</t>
        </is>
      </c>
      <c r="L37" s="27" t="inlineStr"/>
      <c r="M37" s="27" t="inlineStr">
        <is>
          <t>de+ru+en</t>
        </is>
      </c>
      <c r="N37" s="27" t="n">
        <v>2</v>
      </c>
      <c r="O37" s="27" t="n">
        <v>0</v>
      </c>
      <c r="P37" s="27" t="n">
        <v>0</v>
      </c>
      <c r="Q37" s="27" t="n">
        <v>2</v>
      </c>
      <c r="R37" s="27" t="n">
        <v>2</v>
      </c>
      <c r="S37" s="27" t="inlineStr">
        <is>
          <t>n.cup, n.overflow</t>
        </is>
      </c>
      <c r="T37" s="27" t="n">
        <v>0</v>
      </c>
      <c r="U37" s="27" t="inlineStr"/>
      <c r="V37" s="27" t="n">
        <v>0</v>
      </c>
      <c r="W37" s="27" t="inlineStr"/>
      <c r="X37" s="27" t="inlineStr">
        <is>
          <t>local_chain</t>
        </is>
      </c>
      <c r="Y37" s="27" t="inlineStr">
        <is>
          <t>source_linked</t>
        </is>
      </c>
      <c r="Z37" s="27" t="inlineStr"/>
      <c r="AA37" s="27" t="inlineStr">
        <is>
          <t>m087, m088</t>
        </is>
      </c>
    </row>
    <row r="38">
      <c r="A38" s="27" t="inlineStr">
        <is>
          <t>st.p11.cup_wants_to_empty_again</t>
        </is>
      </c>
      <c r="B38" s="27" t="inlineStr">
        <is>
          <t>чаша хочет снова стать пустой</t>
        </is>
      </c>
      <c r="C38" s="27" t="inlineStr">
        <is>
          <t>state</t>
        </is>
      </c>
      <c r="D38" s="27" t="inlineStr">
        <is>
          <t>both</t>
        </is>
      </c>
      <c r="E38" s="27" t="inlineStr">
        <is>
          <t>1,1,1,10</t>
        </is>
      </c>
      <c r="F38" s="27" t="inlineStr">
        <is>
          <t>1,1,1,11</t>
        </is>
      </c>
      <c r="G38" s="27" t="n">
        <v>10</v>
      </c>
      <c r="H38" s="27" t="n">
        <v>11</v>
      </c>
      <c r="I38" s="27" t="inlineStr">
        <is>
          <t>|p10|p11|</t>
        </is>
      </c>
      <c r="J38" s="27" t="inlineStr">
        <is>
          <t>seg.1.1.1.10, seg.1.1.1.11</t>
        </is>
      </c>
      <c r="K38" s="27" t="inlineStr">
        <is>
          <t>de+ru+en</t>
        </is>
      </c>
      <c r="L38" s="27" t="inlineStr"/>
      <c r="M38" s="27" t="inlineStr">
        <is>
          <t>de+ru+en</t>
        </is>
      </c>
      <c r="N38" s="27" t="n">
        <v>3</v>
      </c>
      <c r="O38" s="27" t="n">
        <v>1</v>
      </c>
      <c r="P38" s="27" t="n">
        <v>0</v>
      </c>
      <c r="Q38" s="27" t="n">
        <v>4</v>
      </c>
      <c r="R38" s="27" t="n">
        <v>2</v>
      </c>
      <c r="S38" s="27" t="inlineStr">
        <is>
          <t>n.cup, n.emptiness</t>
        </is>
      </c>
      <c r="T38" s="27" t="n">
        <v>2</v>
      </c>
      <c r="U38" s="27" t="inlineStr">
        <is>
          <t>ev.p10.request_blessing_of_cup, st.p11.zarathustra_wants_to_become_human_again</t>
        </is>
      </c>
      <c r="V38" s="27" t="n">
        <v>0</v>
      </c>
      <c r="W38" s="27" t="inlineStr"/>
      <c r="X38" s="27" t="inlineStr">
        <is>
          <t>local_chain, reasoning_bridge</t>
        </is>
      </c>
      <c r="Y38" s="27" t="inlineStr">
        <is>
          <t>source_linked</t>
        </is>
      </c>
      <c r="Z38" s="27" t="inlineStr">
        <is>
          <t>чаша и Заратустра движутся параллельно</t>
        </is>
      </c>
      <c r="AA38" s="27" t="inlineStr">
        <is>
          <t>m097, m098, m099, m102</t>
        </is>
      </c>
    </row>
    <row r="39">
      <c r="A39" s="27" t="inlineStr">
        <is>
          <t>st.p11.zarathustra_wants_to_become_human_again</t>
        </is>
      </c>
      <c r="B39" s="27" t="inlineStr">
        <is>
          <t>Заратустра хочет снова стать человеком</t>
        </is>
      </c>
      <c r="C39" s="27" t="inlineStr">
        <is>
          <t>state</t>
        </is>
      </c>
      <c r="D39" s="27" t="inlineStr">
        <is>
          <t>both</t>
        </is>
      </c>
      <c r="E39" s="27" t="inlineStr">
        <is>
          <t>1,1,1,11</t>
        </is>
      </c>
      <c r="F39" s="27" t="inlineStr">
        <is>
          <t>1,1,1,12</t>
        </is>
      </c>
      <c r="G39" s="27" t="n">
        <v>11</v>
      </c>
      <c r="H39" s="27" t="n">
        <v>12</v>
      </c>
      <c r="I39" s="27" t="inlineStr">
        <is>
          <t>|p11|p12|</t>
        </is>
      </c>
      <c r="J39" s="27" t="inlineStr">
        <is>
          <t>seg.1.1.1.11, seg.1.1.1.12</t>
        </is>
      </c>
      <c r="K39" s="27" t="inlineStr">
        <is>
          <t>de+ru+en</t>
        </is>
      </c>
      <c r="L39" s="27" t="inlineStr">
        <is>
          <t>de+ru+en</t>
        </is>
      </c>
      <c r="M39" s="27" t="inlineStr">
        <is>
          <t>de+ru+en</t>
        </is>
      </c>
      <c r="N39" s="27" t="n">
        <v>3</v>
      </c>
      <c r="O39" s="27" t="n">
        <v>1</v>
      </c>
      <c r="P39" s="27" t="n">
        <v>1</v>
      </c>
      <c r="Q39" s="27" t="n">
        <v>5</v>
      </c>
      <c r="R39" s="27" t="n">
        <v>2</v>
      </c>
      <c r="S39" s="27" t="inlineStr">
        <is>
          <t>n.human, n.zarathustra</t>
        </is>
      </c>
      <c r="T39" s="27" t="n">
        <v>2</v>
      </c>
      <c r="U39" s="27" t="inlineStr">
        <is>
          <t>ev.p12.beginning_of_zarathustra_going_under, st.p11.cup_wants_to_empty_again</t>
        </is>
      </c>
      <c r="V39" s="27" t="n">
        <v>1</v>
      </c>
      <c r="W39" s="27" t="inlineStr">
        <is>
          <t>pr.return_as_action</t>
        </is>
      </c>
      <c r="X39" s="27" t="inlineStr">
        <is>
          <t>local_chain, principle_support, reasoning_bridge</t>
        </is>
      </c>
      <c r="Y39" s="27" t="inlineStr">
        <is>
          <t>distilled_principle, source_linked</t>
        </is>
      </c>
      <c r="Z39" s="27" t="inlineStr">
        <is>
          <t>чаша и Заратустра движутся параллельно | возвращение удерживается как акт</t>
        </is>
      </c>
      <c r="AA39" s="27" t="inlineStr">
        <is>
          <t>m100, m101, m102, m103, m119</t>
        </is>
      </c>
    </row>
  </sheetData>
  <autoFilter ref="A11:AA39"/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xSplit="1" ySplit="11" topLeftCell="B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42" customWidth="1" min="10" max="10"/>
    <col width="23" customWidth="1" min="11" max="11"/>
    <col width="21" customWidth="1" min="12" max="12"/>
    <col width="22" customWidth="1" min="13" max="13"/>
    <col width="22" customWidth="1" min="14" max="14"/>
    <col width="42" customWidth="1" min="15" max="15"/>
    <col width="22" customWidth="1" min="16" max="16"/>
    <col width="42" customWidth="1" min="17" max="17"/>
    <col width="37" customWidth="1" min="18" max="18"/>
    <col width="42" customWidth="1" min="19" max="19"/>
    <col width="24" customWidth="1" min="20" max="20"/>
  </cols>
  <sheetData>
    <row r="1">
      <c r="A1" s="23" t="inlineStr">
        <is>
          <t>Фактическая проекция: principles_actual</t>
        </is>
      </c>
    </row>
    <row r="2">
      <c r="A2" s="24" t="inlineStr">
        <is>
          <t>Принципы, distilled layers и authored commentary, сведённые из principle_edge-слоя master-таблицы.</t>
        </is>
      </c>
    </row>
    <row r="4">
      <c r="A4" s="25" t="inlineStr">
        <is>
          <t>Источник</t>
        </is>
      </c>
      <c r="B4" s="4" t="inlineStr">
        <is>
          <t>15_Master_связность_1_12</t>
        </is>
      </c>
    </row>
    <row r="5">
      <c r="A5" s="25" t="inlineStr">
        <is>
          <t>Логика</t>
        </is>
      </c>
      <c r="B5" s="4" t="inlineStr">
        <is>
          <t>Чистая фактическая проекция из master: по устойчивым ID, без ручного дублирования.</t>
        </is>
      </c>
    </row>
    <row r="6">
      <c r="A6" s="25" t="inlineStr">
        <is>
          <t>Всего строк</t>
        </is>
      </c>
      <c r="B6" s="4">
        <f>COUNTA(A12:A25)</f>
        <v/>
      </c>
    </row>
    <row r="7">
      <c r="A7" s="25" t="inlineStr">
        <is>
          <t>Как читать</t>
        </is>
      </c>
      <c r="B7" s="4" t="inlineStr">
        <is>
          <t>Смотри anchors, counts, witness_scope и connected_* поля: они показывают, как сущность живет в master и где ее лучше разворачивать дальше.</t>
        </is>
      </c>
    </row>
    <row r="8">
      <c r="A8" s="25" t="inlineStr">
        <is>
          <t>Примечание</t>
        </is>
      </c>
      <c r="B8" s="4" t="inlineStr">
        <is>
          <t>Это derived-слой. Здесь фиксируются не голые source facts, а снятые принципы, поддержанные anchors из master.</t>
        </is>
      </c>
    </row>
    <row r="11">
      <c r="A11" s="26" t="inlineStr">
        <is>
          <t>principle_id</t>
        </is>
      </c>
      <c r="B11" s="26" t="inlineStr">
        <is>
          <t>label_ru</t>
        </is>
      </c>
      <c r="C11" s="26" t="inlineStr">
        <is>
          <t>class</t>
        </is>
      </c>
      <c r="D11" s="26" t="inlineStr">
        <is>
          <t>appears_as</t>
        </is>
      </c>
      <c r="E11" s="26" t="inlineStr">
        <is>
          <t>first_sec</t>
        </is>
      </c>
      <c r="F11" s="26" t="inlineStr">
        <is>
          <t>last_sec</t>
        </is>
      </c>
      <c r="G11" s="26" t="inlineStr">
        <is>
          <t>p_first</t>
        </is>
      </c>
      <c r="H11" s="26" t="inlineStr">
        <is>
          <t>p_last</t>
        </is>
      </c>
      <c r="I11" s="26" t="inlineStr">
        <is>
          <t>paragraph_tags</t>
        </is>
      </c>
      <c r="J11" s="26" t="inlineStr">
        <is>
          <t>segment_ids</t>
        </is>
      </c>
      <c r="K11" s="26" t="inlineStr">
        <is>
          <t>support_witness_scope</t>
        </is>
      </c>
      <c r="L11" s="26" t="inlineStr">
        <is>
          <t>layer_modes</t>
        </is>
      </c>
      <c r="M11" s="26" t="inlineStr">
        <is>
          <t>principle_edge_count</t>
        </is>
      </c>
      <c r="N11" s="26" t="inlineStr">
        <is>
          <t>support_target_count</t>
        </is>
      </c>
      <c r="O11" s="26" t="inlineStr">
        <is>
          <t>support_target_ids</t>
        </is>
      </c>
      <c r="P11" s="26" t="inlineStr">
        <is>
          <t>linked_principle_count</t>
        </is>
      </c>
      <c r="Q11" s="26" t="inlineStr">
        <is>
          <t>linked_principle_ids</t>
        </is>
      </c>
      <c r="R11" s="26" t="inlineStr">
        <is>
          <t>connectivity_roles</t>
        </is>
      </c>
      <c r="S11" s="26" t="inlineStr">
        <is>
          <t>note_ru</t>
        </is>
      </c>
      <c r="T11" s="26" t="inlineStr">
        <is>
          <t>master_refs</t>
        </is>
      </c>
    </row>
    <row r="12">
      <c r="A12" s="27" t="inlineStr">
        <is>
          <t>pr.departure_from_reflective_origin</t>
        </is>
      </c>
      <c r="B12" s="27" t="inlineStr">
        <is>
          <t>уход от отражённого истока</t>
        </is>
      </c>
      <c r="C12" s="27" t="inlineStr">
        <is>
          <t>principle</t>
        </is>
      </c>
      <c r="D12" s="27" t="inlineStr">
        <is>
          <t>from</t>
        </is>
      </c>
      <c r="E12" s="27" t="inlineStr">
        <is>
          <t>1,1,1,1</t>
        </is>
      </c>
      <c r="F12" s="27" t="inlineStr">
        <is>
          <t>1,1,1,1</t>
        </is>
      </c>
      <c r="G12" s="27" t="n">
        <v>1</v>
      </c>
      <c r="H12" s="27" t="n">
        <v>1</v>
      </c>
      <c r="I12" s="27" t="inlineStr">
        <is>
          <t>|p1|</t>
        </is>
      </c>
      <c r="J12" s="27" t="inlineStr">
        <is>
          <t>seg.1.1.1.1</t>
        </is>
      </c>
      <c r="K12" s="27" t="inlineStr">
        <is>
          <t>authored</t>
        </is>
      </c>
      <c r="L12" s="27" t="inlineStr">
        <is>
          <t>authored_commentary</t>
        </is>
      </c>
      <c r="M12" s="27" t="n">
        <v>1</v>
      </c>
      <c r="N12" s="27" t="n">
        <v>1</v>
      </c>
      <c r="O12" s="27" t="inlineStr">
        <is>
          <t>ev.p1.departure_from_origin</t>
        </is>
      </c>
      <c r="P12" s="27" t="n">
        <v>0</v>
      </c>
      <c r="Q12" s="27" t="inlineStr"/>
      <c r="R12" s="27" t="inlineStr">
        <is>
          <t>symbolic_support</t>
        </is>
      </c>
      <c r="S12" s="27" t="inlineStr">
        <is>
          <t>озеро читается как отражённый исток</t>
        </is>
      </c>
      <c r="T12" s="27" t="inlineStr">
        <is>
          <t>m108</t>
        </is>
      </c>
    </row>
    <row r="13">
      <c r="A13" s="27" t="inlineStr">
        <is>
          <t>pr.solitude_as_ripening</t>
        </is>
      </c>
      <c r="B13" s="27" t="inlineStr">
        <is>
          <t>уединение как созревание</t>
        </is>
      </c>
      <c r="C13" s="27" t="inlineStr">
        <is>
          <t>principle</t>
        </is>
      </c>
      <c r="D13" s="27" t="inlineStr">
        <is>
          <t>from</t>
        </is>
      </c>
      <c r="E13" s="27" t="inlineStr">
        <is>
          <t>1,1,1,1</t>
        </is>
      </c>
      <c r="F13" s="27" t="inlineStr">
        <is>
          <t>1,1,1,5</t>
        </is>
      </c>
      <c r="G13" s="27" t="n">
        <v>1</v>
      </c>
      <c r="H13" s="27" t="n">
        <v>5</v>
      </c>
      <c r="I13" s="27" t="inlineStr">
        <is>
          <t>|p1|p5|</t>
        </is>
      </c>
      <c r="J13" s="27" t="inlineStr">
        <is>
          <t>seg.1.1.1.1, seg.1.1.1.5</t>
        </is>
      </c>
      <c r="K13" s="27" t="inlineStr">
        <is>
          <t>de+ru+en</t>
        </is>
      </c>
      <c r="L13" s="27" t="inlineStr">
        <is>
          <t>distilled_principle</t>
        </is>
      </c>
      <c r="M13" s="27" t="n">
        <v>2</v>
      </c>
      <c r="N13" s="27" t="n">
        <v>1</v>
      </c>
      <c r="O13" s="27" t="inlineStr">
        <is>
          <t>st.p1.solitary_ripening_10y</t>
        </is>
      </c>
      <c r="P13" s="27" t="n">
        <v>1</v>
      </c>
      <c r="Q13" s="27" t="inlineStr">
        <is>
          <t>pr.wisdom_can_overfill</t>
        </is>
      </c>
      <c r="R13" s="27" t="inlineStr">
        <is>
          <t>principle_support, reasoning_bridge</t>
        </is>
      </c>
      <c r="S13" s="27" t="inlineStr">
        <is>
          <t>уединение не пустота, а созревание | созревание выводит к избытку</t>
        </is>
      </c>
      <c r="T13" s="27" t="inlineStr">
        <is>
          <t>m107, m121</t>
        </is>
      </c>
    </row>
    <row r="14">
      <c r="A14" s="27" t="inlineStr">
        <is>
          <t>pr.wisdom_can_overfill</t>
        </is>
      </c>
      <c r="B14" s="27" t="inlineStr">
        <is>
          <t>мудрость может стать избытком</t>
        </is>
      </c>
      <c r="C14" s="27" t="inlineStr">
        <is>
          <t>principle</t>
        </is>
      </c>
      <c r="D14" s="27" t="inlineStr">
        <is>
          <t>both</t>
        </is>
      </c>
      <c r="E14" s="27" t="inlineStr">
        <is>
          <t>1,1,1,1</t>
        </is>
      </c>
      <c r="F14" s="27" t="inlineStr">
        <is>
          <t>1,1,1,6</t>
        </is>
      </c>
      <c r="G14" s="27" t="n">
        <v>1</v>
      </c>
      <c r="H14" s="27" t="n">
        <v>6</v>
      </c>
      <c r="I14" s="27" t="inlineStr">
        <is>
          <t>|p1|p5|p6|</t>
        </is>
      </c>
      <c r="J14" s="27" t="inlineStr">
        <is>
          <t>seg.1.1.1.1, seg.1.1.1.5, seg.1.1.1.6</t>
        </is>
      </c>
      <c r="K14" s="27" t="inlineStr">
        <is>
          <t>de+ru+en</t>
        </is>
      </c>
      <c r="L14" s="27" t="inlineStr">
        <is>
          <t>distilled_principle</t>
        </is>
      </c>
      <c r="M14" s="27" t="n">
        <v>3</v>
      </c>
      <c r="N14" s="27" t="n">
        <v>1</v>
      </c>
      <c r="O14" s="27" t="inlineStr">
        <is>
          <t>st.p5.overfull_wisdom</t>
        </is>
      </c>
      <c r="P14" s="27" t="n">
        <v>2</v>
      </c>
      <c r="Q14" s="27" t="inlineStr">
        <is>
          <t>pr.excess_seeks_recipients, pr.solitude_as_ripening</t>
        </is>
      </c>
      <c r="R14" s="27" t="inlineStr">
        <is>
          <t>principle_support, reasoning_bridge</t>
        </is>
      </c>
      <c r="S14" s="27" t="inlineStr">
        <is>
          <t>созревание выводит к избытку</t>
        </is>
      </c>
      <c r="T14" s="27" t="inlineStr">
        <is>
          <t>m112, m121, m123</t>
        </is>
      </c>
    </row>
    <row r="15">
      <c r="A15" s="27" t="inlineStr">
        <is>
          <t>pr.happiness_is_relational</t>
        </is>
      </c>
      <c r="B15" s="27" t="inlineStr">
        <is>
          <t>счастье реляционно</t>
        </is>
      </c>
      <c r="C15" s="27" t="inlineStr">
        <is>
          <t>principle</t>
        </is>
      </c>
      <c r="D15" s="27" t="inlineStr">
        <is>
          <t>from</t>
        </is>
      </c>
      <c r="E15" s="27" t="inlineStr">
        <is>
          <t>1,1,1,2</t>
        </is>
      </c>
      <c r="F15" s="27" t="inlineStr">
        <is>
          <t>1,1,1,2</t>
        </is>
      </c>
      <c r="G15" s="27" t="n">
        <v>2</v>
      </c>
      <c r="H15" s="27" t="n">
        <v>2</v>
      </c>
      <c r="I15" s="27" t="inlineStr">
        <is>
          <t>|p2|</t>
        </is>
      </c>
      <c r="J15" s="27" t="inlineStr">
        <is>
          <t>seg.1.1.1.2</t>
        </is>
      </c>
      <c r="K15" s="27" t="inlineStr">
        <is>
          <t>de+ru+en</t>
        </is>
      </c>
      <c r="L15" s="27" t="inlineStr">
        <is>
          <t>distilled_principle</t>
        </is>
      </c>
      <c r="M15" s="27" t="n">
        <v>1</v>
      </c>
      <c r="N15" s="27" t="n">
        <v>1</v>
      </c>
      <c r="O15" s="27" t="inlineStr">
        <is>
          <t>st.p2.solar_happiness_requires_recipients</t>
        </is>
      </c>
      <c r="P15" s="27" t="n">
        <v>0</v>
      </c>
      <c r="Q15" s="27" t="inlineStr"/>
      <c r="R15" s="27" t="inlineStr">
        <is>
          <t>principle_support</t>
        </is>
      </c>
      <c r="S15" s="27" t="inlineStr"/>
      <c r="T15" s="27" t="inlineStr">
        <is>
          <t>m109</t>
        </is>
      </c>
    </row>
    <row r="16">
      <c r="A16" s="27" t="inlineStr">
        <is>
          <t>pr.blessing_is_reciprocal</t>
        </is>
      </c>
      <c r="B16" s="27" t="inlineStr">
        <is>
          <t>благословение взаимно</t>
        </is>
      </c>
      <c r="C16" s="27" t="inlineStr">
        <is>
          <t>principle</t>
        </is>
      </c>
      <c r="D16" s="27" t="inlineStr">
        <is>
          <t>from</t>
        </is>
      </c>
      <c r="E16" s="27" t="inlineStr">
        <is>
          <t>1,1,1,4</t>
        </is>
      </c>
      <c r="F16" s="27" t="inlineStr">
        <is>
          <t>1,1,1,4</t>
        </is>
      </c>
      <c r="G16" s="27" t="n">
        <v>4</v>
      </c>
      <c r="H16" s="27" t="n">
        <v>4</v>
      </c>
      <c r="I16" s="27" t="inlineStr">
        <is>
          <t>|p4|</t>
        </is>
      </c>
      <c r="J16" s="27" t="inlineStr">
        <is>
          <t>seg.1.1.1.4</t>
        </is>
      </c>
      <c r="K16" s="27" t="inlineStr">
        <is>
          <t>de+ru+en</t>
        </is>
      </c>
      <c r="L16" s="27" t="inlineStr">
        <is>
          <t>distilled_principle</t>
        </is>
      </c>
      <c r="M16" s="27" t="n">
        <v>1</v>
      </c>
      <c r="N16" s="27" t="n">
        <v>1</v>
      </c>
      <c r="O16" s="27" t="inlineStr">
        <is>
          <t>ev.p4.bless_sun_for_overflow</t>
        </is>
      </c>
      <c r="P16" s="27" t="n">
        <v>0</v>
      </c>
      <c r="Q16" s="27" t="inlineStr"/>
      <c r="R16" s="27" t="inlineStr">
        <is>
          <t>principle_support</t>
        </is>
      </c>
      <c r="S16" s="27" t="inlineStr"/>
      <c r="T16" s="27" t="inlineStr">
        <is>
          <t>m111</t>
        </is>
      </c>
    </row>
    <row r="17">
      <c r="A17" s="27" t="inlineStr">
        <is>
          <t>pr.excess_seeks_recipients</t>
        </is>
      </c>
      <c r="B17" s="27" t="inlineStr">
        <is>
          <t>избыток ищет адресатов</t>
        </is>
      </c>
      <c r="C17" s="27" t="inlineStr">
        <is>
          <t>principle</t>
        </is>
      </c>
      <c r="D17" s="27" t="inlineStr">
        <is>
          <t>both</t>
        </is>
      </c>
      <c r="E17" s="27" t="inlineStr">
        <is>
          <t>1,1,1,4</t>
        </is>
      </c>
      <c r="F17" s="27" t="inlineStr">
        <is>
          <t>1,1,1,7</t>
        </is>
      </c>
      <c r="G17" s="27" t="n">
        <v>4</v>
      </c>
      <c r="H17" s="27" t="n">
        <v>7</v>
      </c>
      <c r="I17" s="27" t="inlineStr">
        <is>
          <t>|p4|p5|p6|p7|</t>
        </is>
      </c>
      <c r="J17" s="27" t="inlineStr">
        <is>
          <t>seg.1.1.1.4, seg.1.1.1.5, seg.1.1.1.6, seg.1.1.1.7</t>
        </is>
      </c>
      <c r="K17" s="27" t="inlineStr">
        <is>
          <t>de+ru+en</t>
        </is>
      </c>
      <c r="L17" s="27" t="inlineStr">
        <is>
          <t>distilled_principle</t>
        </is>
      </c>
      <c r="M17" s="27" t="n">
        <v>4</v>
      </c>
      <c r="N17" s="27" t="n">
        <v>1</v>
      </c>
      <c r="O17" s="27" t="inlineStr">
        <is>
          <t>ev.p5_6.need_hands_for_giving</t>
        </is>
      </c>
      <c r="P17" s="27" t="n">
        <v>3</v>
      </c>
      <c r="Q17" s="27" t="inlineStr">
        <is>
          <t>pr.descent_is_required_by_gift, pr.overflow_can_be_received, pr.wisdom_can_overfill</t>
        </is>
      </c>
      <c r="R17" s="27" t="inlineStr">
        <is>
          <t>principle_support, reasoning_bridge</t>
        </is>
      </c>
      <c r="S17" s="27" t="inlineStr"/>
      <c r="T17" s="27" t="inlineStr">
        <is>
          <t>m113, m122, m123, m124</t>
        </is>
      </c>
    </row>
    <row r="18">
      <c r="A18" s="27" t="inlineStr">
        <is>
          <t>pr.overflow_can_be_received</t>
        </is>
      </c>
      <c r="B18" s="27" t="inlineStr">
        <is>
          <t>избыток может быть принят</t>
        </is>
      </c>
      <c r="C18" s="27" t="inlineStr">
        <is>
          <t>principle</t>
        </is>
      </c>
      <c r="D18" s="27" t="inlineStr">
        <is>
          <t>from</t>
        </is>
      </c>
      <c r="E18" s="27" t="inlineStr">
        <is>
          <t>1,1,1,4</t>
        </is>
      </c>
      <c r="F18" s="27" t="inlineStr">
        <is>
          <t>1,1,1,6</t>
        </is>
      </c>
      <c r="G18" s="27" t="n">
        <v>4</v>
      </c>
      <c r="H18" s="27" t="n">
        <v>6</v>
      </c>
      <c r="I18" s="27" t="inlineStr">
        <is>
          <t>|p4|p5|p6|</t>
        </is>
      </c>
      <c r="J18" s="27" t="inlineStr">
        <is>
          <t>seg.1.1.1.4, seg.1.1.1.5, seg.1.1.1.6</t>
        </is>
      </c>
      <c r="K18" s="27" t="inlineStr">
        <is>
          <t>de+ru+en</t>
        </is>
      </c>
      <c r="L18" s="27" t="inlineStr">
        <is>
          <t>distilled_principle</t>
        </is>
      </c>
      <c r="M18" s="27" t="n">
        <v>2</v>
      </c>
      <c r="N18" s="27" t="n">
        <v>1</v>
      </c>
      <c r="O18" s="27" t="inlineStr">
        <is>
          <t>ev.p4.receive_overflow_from_sun</t>
        </is>
      </c>
      <c r="P18" s="27" t="n">
        <v>1</v>
      </c>
      <c r="Q18" s="27" t="inlineStr">
        <is>
          <t>pr.excess_seeks_recipients</t>
        </is>
      </c>
      <c r="R18" s="27" t="inlineStr">
        <is>
          <t>principle_support, reasoning_bridge</t>
        </is>
      </c>
      <c r="S18" s="27" t="inlineStr"/>
      <c r="T18" s="27" t="inlineStr">
        <is>
          <t>m110, m122</t>
        </is>
      </c>
    </row>
    <row r="19">
      <c r="A19" s="27" t="inlineStr">
        <is>
          <t>pr.descent_is_required_by_gift</t>
        </is>
      </c>
      <c r="B19" s="27" t="inlineStr">
        <is>
          <t>дар требует нисхождения</t>
        </is>
      </c>
      <c r="C19" s="27" t="inlineStr">
        <is>
          <t>principle</t>
        </is>
      </c>
      <c r="D19" s="27" t="inlineStr">
        <is>
          <t>both</t>
        </is>
      </c>
      <c r="E19" s="27" t="inlineStr">
        <is>
          <t>1,1,1,5</t>
        </is>
      </c>
      <c r="F19" s="27" t="inlineStr">
        <is>
          <t>1,1,1,8</t>
        </is>
      </c>
      <c r="G19" s="27" t="n">
        <v>5</v>
      </c>
      <c r="H19" s="27" t="n">
        <v>8</v>
      </c>
      <c r="I19" s="27" t="inlineStr">
        <is>
          <t>|p5|p6|p7|p8|</t>
        </is>
      </c>
      <c r="J19" s="27" t="inlineStr">
        <is>
          <t>seg.1.1.1.5, seg.1.1.1.6, seg.1.1.1.7, seg.1.1.1.8</t>
        </is>
      </c>
      <c r="K19" s="27" t="inlineStr">
        <is>
          <t>de+ru+en</t>
        </is>
      </c>
      <c r="L19" s="27" t="inlineStr">
        <is>
          <t>distilled_principle</t>
        </is>
      </c>
      <c r="M19" s="27" t="n">
        <v>3</v>
      </c>
      <c r="N19" s="27" t="n">
        <v>1</v>
      </c>
      <c r="O19" s="27" t="inlineStr">
        <is>
          <t>ev.p7.descend_into_depth</t>
        </is>
      </c>
      <c r="P19" s="27" t="n">
        <v>2</v>
      </c>
      <c r="Q19" s="27" t="inlineStr">
        <is>
          <t>pr.excess_seeks_recipients, pr.go_under_is_human_name</t>
        </is>
      </c>
      <c r="R19" s="27" t="inlineStr">
        <is>
          <t>principle_support, reasoning_bridge</t>
        </is>
      </c>
      <c r="S19" s="27" t="inlineStr">
        <is>
          <t>дар и катабасис сцеплены</t>
        </is>
      </c>
      <c r="T19" s="27" t="inlineStr">
        <is>
          <t>m115, m124, m125</t>
        </is>
      </c>
    </row>
    <row r="20">
      <c r="A20" s="27" t="inlineStr">
        <is>
          <t>pr.gift_has_dual_mode</t>
        </is>
      </c>
      <c r="B20" s="27" t="inlineStr">
        <is>
          <t>дар идет в двух режимах</t>
        </is>
      </c>
      <c r="C20" s="27" t="inlineStr">
        <is>
          <t>principle</t>
        </is>
      </c>
      <c r="D20" s="27" t="inlineStr">
        <is>
          <t>from</t>
        </is>
      </c>
      <c r="E20" s="27" t="inlineStr">
        <is>
          <t>1,1,1,6</t>
        </is>
      </c>
      <c r="F20" s="27" t="inlineStr">
        <is>
          <t>1,1,1,6</t>
        </is>
      </c>
      <c r="G20" s="27" t="n">
        <v>6</v>
      </c>
      <c r="H20" s="27" t="n">
        <v>6</v>
      </c>
      <c r="I20" s="27" t="inlineStr">
        <is>
          <t>|p6|</t>
        </is>
      </c>
      <c r="J20" s="27" t="inlineStr">
        <is>
          <t>seg.1.1.1.6</t>
        </is>
      </c>
      <c r="K20" s="27" t="inlineStr">
        <is>
          <t>de+ru+en</t>
        </is>
      </c>
      <c r="L20" s="27" t="inlineStr">
        <is>
          <t>distilled_principle</t>
        </is>
      </c>
      <c r="M20" s="27" t="n">
        <v>1</v>
      </c>
      <c r="N20" s="27" t="n">
        <v>1</v>
      </c>
      <c r="O20" s="27" t="inlineStr">
        <is>
          <t>ev.p6.bestow_and_distribute</t>
        </is>
      </c>
      <c r="P20" s="27" t="n">
        <v>0</v>
      </c>
      <c r="Q20" s="27" t="inlineStr"/>
      <c r="R20" s="27" t="inlineStr">
        <is>
          <t>principle_support</t>
        </is>
      </c>
      <c r="S20" s="27" t="inlineStr"/>
      <c r="T20" s="27" t="inlineStr">
        <is>
          <t>m114</t>
        </is>
      </c>
    </row>
    <row r="21">
      <c r="A21" s="27" t="inlineStr">
        <is>
          <t>pr.go_under_is_human_name</t>
        </is>
      </c>
      <c r="B21" s="27" t="inlineStr">
        <is>
          <t>закат есть человеческое имя нисхождения</t>
        </is>
      </c>
      <c r="C21" s="27" t="inlineStr">
        <is>
          <t>principle</t>
        </is>
      </c>
      <c r="D21" s="27" t="inlineStr">
        <is>
          <t>both</t>
        </is>
      </c>
      <c r="E21" s="27" t="inlineStr">
        <is>
          <t>1,1,1,7</t>
        </is>
      </c>
      <c r="F21" s="27" t="inlineStr">
        <is>
          <t>1,1,1,8</t>
        </is>
      </c>
      <c r="G21" s="27" t="n">
        <v>7</v>
      </c>
      <c r="H21" s="27" t="n">
        <v>8</v>
      </c>
      <c r="I21" s="27" t="inlineStr">
        <is>
          <t>|p7|p8|</t>
        </is>
      </c>
      <c r="J21" s="27" t="inlineStr">
        <is>
          <t>seg.1.1.1.7, seg.1.1.1.8</t>
        </is>
      </c>
      <c r="K21" s="27" t="inlineStr">
        <is>
          <t>de+ru+en</t>
        </is>
      </c>
      <c r="L21" s="27" t="inlineStr">
        <is>
          <t>distilled_principle</t>
        </is>
      </c>
      <c r="M21" s="27" t="n">
        <v>2</v>
      </c>
      <c r="N21" s="27" t="n">
        <v>1</v>
      </c>
      <c r="O21" s="27" t="inlineStr">
        <is>
          <t>ev.p7_8.descent_named_as_go_under</t>
        </is>
      </c>
      <c r="P21" s="27" t="n">
        <v>1</v>
      </c>
      <c r="Q21" s="27" t="inlineStr">
        <is>
          <t>pr.descent_is_required_by_gift</t>
        </is>
      </c>
      <c r="R21" s="27" t="inlineStr">
        <is>
          <t>principle_support, reasoning_bridge</t>
        </is>
      </c>
      <c r="S21" s="27" t="inlineStr"/>
      <c r="T21" s="27" t="inlineStr">
        <is>
          <t>m116, m125</t>
        </is>
      </c>
    </row>
    <row r="22">
      <c r="A22" s="27" t="inlineStr">
        <is>
          <t>pr.reflected_light_can_be_carried</t>
        </is>
      </c>
      <c r="B22" s="27" t="inlineStr">
        <is>
          <t>отражённый свет может быть носим</t>
        </is>
      </c>
      <c r="C22" s="27" t="inlineStr">
        <is>
          <t>principle</t>
        </is>
      </c>
      <c r="D22" s="27" t="inlineStr">
        <is>
          <t>both</t>
        </is>
      </c>
      <c r="E22" s="27" t="inlineStr">
        <is>
          <t>1,1,1,9</t>
        </is>
      </c>
      <c r="F22" s="27" t="inlineStr">
        <is>
          <t>1,1,1,11</t>
        </is>
      </c>
      <c r="G22" s="27" t="n">
        <v>9</v>
      </c>
      <c r="H22" s="27" t="n">
        <v>11</v>
      </c>
      <c r="I22" s="27" t="inlineStr">
        <is>
          <t>|p9|p10|p11|</t>
        </is>
      </c>
      <c r="J22" s="27" t="inlineStr">
        <is>
          <t>seg.1.1.1.10, seg.1.1.1.11, seg.1.1.1.9</t>
        </is>
      </c>
      <c r="K22" s="27" t="inlineStr">
        <is>
          <t>de+ru+en</t>
        </is>
      </c>
      <c r="L22" s="27" t="inlineStr">
        <is>
          <t>distilled_principle</t>
        </is>
      </c>
      <c r="M22" s="27" t="n">
        <v>3</v>
      </c>
      <c r="N22" s="27" t="n">
        <v>1</v>
      </c>
      <c r="O22" s="27" t="inlineStr">
        <is>
          <t>ev.p10.reflection_of_bliss_is_carried</t>
        </is>
      </c>
      <c r="P22" s="27" t="n">
        <v>2</v>
      </c>
      <c r="Q22" s="27" t="inlineStr">
        <is>
          <t>pr.return_as_action, pr.tranquil_vision_without_envy</t>
        </is>
      </c>
      <c r="R22" s="27" t="inlineStr">
        <is>
          <t>principle_support, reasoning_bridge</t>
        </is>
      </c>
      <c r="S22" s="27" t="inlineStr"/>
      <c r="T22" s="27" t="inlineStr">
        <is>
          <t>m118, m126, m127</t>
        </is>
      </c>
    </row>
    <row r="23">
      <c r="A23" s="27" t="inlineStr">
        <is>
          <t>pr.tranquil_vision_without_envy</t>
        </is>
      </c>
      <c r="B23" s="27" t="inlineStr">
        <is>
          <t>спокойное зрение без зависти</t>
        </is>
      </c>
      <c r="C23" s="27" t="inlineStr">
        <is>
          <t>principle</t>
        </is>
      </c>
      <c r="D23" s="27" t="inlineStr">
        <is>
          <t>from</t>
        </is>
      </c>
      <c r="E23" s="27" t="inlineStr">
        <is>
          <t>1,1,1,9</t>
        </is>
      </c>
      <c r="F23" s="27" t="inlineStr">
        <is>
          <t>1,1,1,10</t>
        </is>
      </c>
      <c r="G23" s="27" t="n">
        <v>9</v>
      </c>
      <c r="H23" s="27" t="n">
        <v>10</v>
      </c>
      <c r="I23" s="27" t="inlineStr">
        <is>
          <t>|p9|p10|</t>
        </is>
      </c>
      <c r="J23" s="27" t="inlineStr">
        <is>
          <t>seg.1.1.1.10, seg.1.1.1.9</t>
        </is>
      </c>
      <c r="K23" s="27" t="inlineStr">
        <is>
          <t>de+ru+en</t>
        </is>
      </c>
      <c r="L23" s="27" t="inlineStr">
        <is>
          <t>distilled_principle</t>
        </is>
      </c>
      <c r="M23" s="27" t="n">
        <v>2</v>
      </c>
      <c r="N23" s="27" t="n">
        <v>1</v>
      </c>
      <c r="O23" s="27" t="inlineStr">
        <is>
          <t>st.p9.tranquil_eye_without_envy</t>
        </is>
      </c>
      <c r="P23" s="27" t="n">
        <v>1</v>
      </c>
      <c r="Q23" s="27" t="inlineStr">
        <is>
          <t>pr.reflected_light_can_be_carried</t>
        </is>
      </c>
      <c r="R23" s="27" t="inlineStr">
        <is>
          <t>principle_support, reasoning_bridge</t>
        </is>
      </c>
      <c r="S23" s="27" t="inlineStr"/>
      <c r="T23" s="27" t="inlineStr">
        <is>
          <t>m117, m126</t>
        </is>
      </c>
    </row>
    <row r="24">
      <c r="A24" s="27" t="inlineStr">
        <is>
          <t>pr.return_as_action</t>
        </is>
      </c>
      <c r="B24" s="27" t="inlineStr">
        <is>
          <t>возвращение как действие</t>
        </is>
      </c>
      <c r="C24" s="27" t="inlineStr">
        <is>
          <t>principle</t>
        </is>
      </c>
      <c r="D24" s="27" t="inlineStr">
        <is>
          <t>both</t>
        </is>
      </c>
      <c r="E24" s="27" t="inlineStr">
        <is>
          <t>1,1,1,10</t>
        </is>
      </c>
      <c r="F24" s="27" t="inlineStr">
        <is>
          <t>1,1,1,12</t>
        </is>
      </c>
      <c r="G24" s="27" t="n">
        <v>10</v>
      </c>
      <c r="H24" s="27" t="n">
        <v>12</v>
      </c>
      <c r="I24" s="27" t="inlineStr">
        <is>
          <t>|p10|p11|p12|</t>
        </is>
      </c>
      <c r="J24" s="27" t="inlineStr">
        <is>
          <t>seg.1.1.1.10, seg.1.1.1.11, seg.1.1.1.12</t>
        </is>
      </c>
      <c r="K24" s="27" t="inlineStr">
        <is>
          <t>de+ru+en</t>
        </is>
      </c>
      <c r="L24" s="27" t="inlineStr">
        <is>
          <t>distilled_principle</t>
        </is>
      </c>
      <c r="M24" s="27" t="n">
        <v>3</v>
      </c>
      <c r="N24" s="27" t="n">
        <v>1</v>
      </c>
      <c r="O24" s="27" t="inlineStr">
        <is>
          <t>st.p11.zarathustra_wants_to_become_human_again</t>
        </is>
      </c>
      <c r="P24" s="27" t="n">
        <v>2</v>
      </c>
      <c r="Q24" s="27" t="inlineStr">
        <is>
          <t>pr.beginning_through_going_under, pr.reflected_light_can_be_carried</t>
        </is>
      </c>
      <c r="R24" s="27" t="inlineStr">
        <is>
          <t>principle_support, reasoning_bridge</t>
        </is>
      </c>
      <c r="S24" s="27" t="inlineStr">
        <is>
          <t>возвращение удерживается как акт</t>
        </is>
      </c>
      <c r="T24" s="27" t="inlineStr">
        <is>
          <t>m119, m127, m128</t>
        </is>
      </c>
    </row>
    <row r="25">
      <c r="A25" s="27" t="inlineStr">
        <is>
          <t>pr.beginning_through_going_under</t>
        </is>
      </c>
      <c r="B25" s="27" t="inlineStr">
        <is>
          <t>начало через закат</t>
        </is>
      </c>
      <c r="C25" s="27" t="inlineStr">
        <is>
          <t>principle</t>
        </is>
      </c>
      <c r="D25" s="27" t="inlineStr">
        <is>
          <t>both</t>
        </is>
      </c>
      <c r="E25" s="27" t="inlineStr">
        <is>
          <t>1,1,1,11</t>
        </is>
      </c>
      <c r="F25" s="27" t="inlineStr">
        <is>
          <t>1,1,1,12</t>
        </is>
      </c>
      <c r="G25" s="27" t="n">
        <v>11</v>
      </c>
      <c r="H25" s="27" t="n">
        <v>12</v>
      </c>
      <c r="I25" s="27" t="inlineStr">
        <is>
          <t>|p11|p12|</t>
        </is>
      </c>
      <c r="J25" s="27" t="inlineStr">
        <is>
          <t>seg.1.1.1.11, seg.1.1.1.12</t>
        </is>
      </c>
      <c r="K25" s="27" t="inlineStr">
        <is>
          <t>de+ru+en</t>
        </is>
      </c>
      <c r="L25" s="27" t="inlineStr">
        <is>
          <t>distilled_principle</t>
        </is>
      </c>
      <c r="M25" s="27" t="n">
        <v>2</v>
      </c>
      <c r="N25" s="27" t="n">
        <v>1</v>
      </c>
      <c r="O25" s="27" t="inlineStr">
        <is>
          <t>ev.p12.beginning_of_zarathustra_going_under</t>
        </is>
      </c>
      <c r="P25" s="27" t="n">
        <v>1</v>
      </c>
      <c r="Q25" s="27" t="inlineStr">
        <is>
          <t>pr.return_as_action</t>
        </is>
      </c>
      <c r="R25" s="27" t="inlineStr">
        <is>
          <t>principle_support, reasoning_bridge</t>
        </is>
      </c>
      <c r="S25" s="27" t="inlineStr"/>
      <c r="T25" s="27" t="inlineStr">
        <is>
          <t>m120, m128</t>
        </is>
      </c>
    </row>
  </sheetData>
  <autoFilter ref="A11:T25"/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1" workbookViewId="0">
      <pane xSplit="1" ySplit="11" topLeftCell="B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4" customWidth="1" min="4" max="4"/>
    <col width="24" customWidth="1" min="5" max="5"/>
    <col width="12" customWidth="1" min="6" max="6"/>
    <col width="34" customWidth="1" min="7" max="7"/>
    <col width="12" customWidth="1" min="8" max="8"/>
    <col width="20" customWidth="1" min="9" max="9"/>
  </cols>
  <sheetData>
    <row r="1" ht="20" customHeight="1">
      <c r="A1" s="9" t="inlineStr">
        <is>
          <t>Predicates registry (canonical + audit)</t>
        </is>
      </c>
    </row>
    <row r="2" ht="20" customHeight="1">
      <c r="A2" s="10" t="inlineStr">
        <is>
          <t>Канонический реестр predicate_id с trailing audit-метриками из master.</t>
        </is>
      </c>
    </row>
    <row r="3" ht="20" customHeight="1"/>
    <row r="4" ht="34" customHeight="1">
      <c r="A4" s="8" t="inlineStr">
        <is>
          <t>Источник</t>
        </is>
      </c>
      <c r="B4" s="4" t="inlineStr">
        <is>
          <t>Seed собран из листа 15_Master_связность_1_12. Это не канон, а стартовый черновик governance-слоя.</t>
        </is>
      </c>
    </row>
    <row r="5" ht="34" customHeight="1">
      <c r="A5" s="8" t="inlineStr">
        <is>
          <t>Наблюдение</t>
        </is>
      </c>
      <c r="B5" s="4" t="inlineStr">
        <is>
          <t>Сейчас в master 53 уникальных predicate_id, из них 29 встречаются только один раз.</t>
        </is>
      </c>
    </row>
    <row r="6" ht="34" customHeight="1">
      <c r="A6" s="8" t="inlineStr">
        <is>
          <t>Как использовать</t>
        </is>
      </c>
      <c r="B6" s="4" t="inlineStr">
        <is>
          <t>Сначала утвердить predicate_ru, затем указать inverse_predicate_id и allowed_from_classes/allowed_to_classes; helper cols справа только помогают аудиту.</t>
        </is>
      </c>
    </row>
    <row r="7" ht="34" customHeight="1">
      <c r="A7" s="8" t="inlineStr">
        <is>
          <t>Что не делать</t>
        </is>
      </c>
      <c r="B7" s="4" t="inlineStr">
        <is>
          <t>Не плодить рядом близкие глаголы, пока реестр не сказал, что это правда новый predicate, а не оттенок старого.</t>
        </is>
      </c>
    </row>
    <row r="8" ht="34" customHeight="1">
      <c r="A8" s="8" t="inlineStr">
        <is>
          <t>Связь с v6.1</t>
        </is>
      </c>
      <c r="B8" s="4" t="inlineStr">
        <is>
          <t>Этот лист уже говорит каноническими headers; helper metrics вынесены вправо и не спорят с contract-слоем.</t>
        </is>
      </c>
    </row>
    <row r="9" ht="20" customHeight="1"/>
    <row r="10" ht="20" customHeight="1"/>
    <row r="11" ht="28" customHeight="1">
      <c r="A11" s="11" t="inlineStr">
        <is>
          <t>predicate_id</t>
        </is>
      </c>
      <c r="B11" s="11" t="inlineStr">
        <is>
          <t>predicate_ru</t>
        </is>
      </c>
      <c r="C11" s="11" t="inlineStr">
        <is>
          <t>inverse_predicate_id</t>
        </is>
      </c>
      <c r="D11" s="11" t="inlineStr">
        <is>
          <t>allowed_from_classes</t>
        </is>
      </c>
      <c r="E11" s="11" t="inlineStr">
        <is>
          <t>allowed_to_classes</t>
        </is>
      </c>
      <c r="F11" s="11" t="inlineStr">
        <is>
          <t>status</t>
        </is>
      </c>
      <c r="G11" s="11" t="inlineStr">
        <is>
          <t>note</t>
        </is>
      </c>
      <c r="H11" s="11" t="inlineStr">
        <is>
          <t>count_in_master</t>
        </is>
      </c>
      <c r="I11" s="11" t="inlineStr">
        <is>
          <t>row_kinds</t>
        </is>
      </c>
    </row>
    <row r="12" ht="32" customHeight="1">
      <c r="A12" s="12" t="inlineStr">
        <is>
          <t>addresses</t>
        </is>
      </c>
      <c r="B12" s="12" t="inlineStr">
        <is>
          <t>обращается к</t>
        </is>
      </c>
      <c r="C12" s="12" t="inlineStr"/>
      <c r="D12" s="12" t="inlineStr">
        <is>
          <t>event</t>
        </is>
      </c>
      <c r="E12" s="12" t="inlineStr">
        <is>
          <t>cosmic_entity|solar-aspect</t>
        </is>
      </c>
      <c r="F12" s="12" t="inlineStr">
        <is>
          <t>seed</t>
        </is>
      </c>
      <c r="G12" s="12" t="inlineStr"/>
      <c r="H12" s="12" t="n">
        <v>3</v>
      </c>
      <c r="I12" s="12" t="inlineStr">
        <is>
          <t>source_edge</t>
        </is>
      </c>
    </row>
    <row r="13" ht="32" customHeight="1">
      <c r="A13" s="13" t="inlineStr">
        <is>
          <t>affects</t>
        </is>
      </c>
      <c r="B13" s="13" t="inlineStr">
        <is>
          <t>затрагивает</t>
        </is>
      </c>
      <c r="C13" s="13" t="inlineStr"/>
      <c r="D13" s="13" t="inlineStr">
        <is>
          <t>event|state</t>
        </is>
      </c>
      <c r="E13" s="13" t="inlineStr">
        <is>
          <t>inner_center|subgroup</t>
        </is>
      </c>
      <c r="F13" s="13" t="inlineStr">
        <is>
          <t>seed</t>
        </is>
      </c>
      <c r="G13" s="13" t="inlineStr"/>
      <c r="H13" s="13" t="n">
        <v>3</v>
      </c>
      <c r="I13" s="13" t="inlineStr">
        <is>
          <t>source_edge</t>
        </is>
      </c>
    </row>
    <row r="14" ht="32" customHeight="1">
      <c r="A14" s="12" t="inlineStr">
        <is>
          <t>aims_at</t>
        </is>
      </c>
      <c r="B14" s="12" t="inlineStr">
        <is>
          <t>устремлено к</t>
        </is>
      </c>
      <c r="C14" s="12" t="inlineStr"/>
      <c r="D14" s="12" t="inlineStr">
        <is>
          <t>state</t>
        </is>
      </c>
      <c r="E14" s="12" t="inlineStr">
        <is>
          <t>abundance|anthropic_state|state</t>
        </is>
      </c>
      <c r="F14" s="12" t="inlineStr">
        <is>
          <t>seed</t>
        </is>
      </c>
      <c r="G14" s="12" t="inlineStr"/>
      <c r="H14" s="12" t="n">
        <v>3</v>
      </c>
      <c r="I14" s="12" t="inlineStr">
        <is>
          <t>source_edge</t>
        </is>
      </c>
    </row>
    <row r="15" ht="32" customHeight="1">
      <c r="A15" s="13" t="inlineStr">
        <is>
          <t>asks_for</t>
        </is>
      </c>
      <c r="B15" s="13" t="inlineStr">
        <is>
          <t>просит</t>
        </is>
      </c>
      <c r="C15" s="13" t="inlineStr"/>
      <c r="D15" s="13" t="inlineStr">
        <is>
          <t>event</t>
        </is>
      </c>
      <c r="E15" s="13" t="inlineStr">
        <is>
          <t>act</t>
        </is>
      </c>
      <c r="F15" s="13" t="inlineStr">
        <is>
          <t>seed</t>
        </is>
      </c>
      <c r="G15" s="13" t="inlineStr"/>
      <c r="H15" s="13" t="n">
        <v>1</v>
      </c>
      <c r="I15" s="13" t="inlineStr">
        <is>
          <t>source_edge</t>
        </is>
      </c>
    </row>
    <row r="16" ht="32" customHeight="1">
      <c r="A16" s="12" t="inlineStr">
        <is>
          <t>aspect_of</t>
        </is>
      </c>
      <c r="B16" s="12" t="inlineStr">
        <is>
          <t>является аспектом</t>
        </is>
      </c>
      <c r="C16" s="12" t="inlineStr"/>
      <c r="D16" s="12" t="inlineStr">
        <is>
          <t>solar-aspect</t>
        </is>
      </c>
      <c r="E16" s="12" t="inlineStr">
        <is>
          <t>cosmic_entity</t>
        </is>
      </c>
      <c r="F16" s="12" t="inlineStr">
        <is>
          <t>seed</t>
        </is>
      </c>
      <c r="G16" s="12" t="inlineStr"/>
      <c r="H16" s="12" t="n">
        <v>1</v>
      </c>
      <c r="I16" s="12" t="inlineStr">
        <is>
          <t>source_edge</t>
        </is>
      </c>
    </row>
    <row r="17" ht="32" customHeight="1">
      <c r="A17" s="13" t="inlineStr">
        <is>
          <t>becomes_glad_of</t>
        </is>
      </c>
      <c r="B17" s="13" t="inlineStr">
        <is>
          <t>становится радостным о</t>
        </is>
      </c>
      <c r="C17" s="13" t="inlineStr"/>
      <c r="D17" s="13" t="inlineStr">
        <is>
          <t>subgroup</t>
        </is>
      </c>
      <c r="E17" s="13" t="inlineStr">
        <is>
          <t>concept|concept-tension</t>
        </is>
      </c>
      <c r="F17" s="13" t="inlineStr">
        <is>
          <t>seed</t>
        </is>
      </c>
      <c r="G17" s="13" t="inlineStr"/>
      <c r="H17" s="13" t="n">
        <v>2</v>
      </c>
      <c r="I17" s="13" t="inlineStr">
        <is>
          <t>source_edge</t>
        </is>
      </c>
    </row>
    <row r="18" ht="32" customHeight="1">
      <c r="A18" s="12" t="inlineStr">
        <is>
          <t>beholds</t>
        </is>
      </c>
      <c r="B18" s="12" t="inlineStr">
        <is>
          <t>созерцает</t>
        </is>
      </c>
      <c r="C18" s="12" t="inlineStr"/>
      <c r="D18" s="12" t="inlineStr">
        <is>
          <t>state</t>
        </is>
      </c>
      <c r="E18" s="12" t="inlineStr">
        <is>
          <t>quality</t>
        </is>
      </c>
      <c r="F18" s="12" t="inlineStr">
        <is>
          <t>seed</t>
        </is>
      </c>
      <c r="G18" s="12" t="inlineStr"/>
      <c r="H18" s="12" t="n">
        <v>1</v>
      </c>
      <c r="I18" s="12" t="inlineStr">
        <is>
          <t>source_edge</t>
        </is>
      </c>
    </row>
    <row r="19" ht="32" customHeight="1">
      <c r="A19" s="13" t="inlineStr">
        <is>
          <t>blesses</t>
        </is>
      </c>
      <c r="B19" s="13" t="inlineStr">
        <is>
          <t>благословляет</t>
        </is>
      </c>
      <c r="C19" s="13" t="inlineStr"/>
      <c r="D19" s="13" t="inlineStr">
        <is>
          <t>event</t>
        </is>
      </c>
      <c r="E19" s="13" t="inlineStr">
        <is>
          <t>cosmic_entity</t>
        </is>
      </c>
      <c r="F19" s="13" t="inlineStr">
        <is>
          <t>seed</t>
        </is>
      </c>
      <c r="G19" s="13" t="inlineStr"/>
      <c r="H19" s="13" t="n">
        <v>1</v>
      </c>
      <c r="I19" s="13" t="inlineStr">
        <is>
          <t>source_edge</t>
        </is>
      </c>
    </row>
    <row r="20" ht="32" customHeight="1">
      <c r="A20" s="12" t="inlineStr">
        <is>
          <t>carries</t>
        </is>
      </c>
      <c r="B20" s="12" t="inlineStr">
        <is>
          <t>несёт</t>
        </is>
      </c>
      <c r="C20" s="12" t="inlineStr"/>
      <c r="D20" s="12" t="inlineStr">
        <is>
          <t>event</t>
        </is>
      </c>
      <c r="E20" s="12" t="inlineStr">
        <is>
          <t>quality-substance|reflective_quality|substance</t>
        </is>
      </c>
      <c r="F20" s="12" t="inlineStr">
        <is>
          <t>seed</t>
        </is>
      </c>
      <c r="G20" s="12" t="inlineStr"/>
      <c r="H20" s="12" t="n">
        <v>3</v>
      </c>
      <c r="I20" s="12" t="inlineStr">
        <is>
          <t>source_edge</t>
        </is>
      </c>
    </row>
    <row r="21" ht="32" customHeight="1">
      <c r="A21" s="13" t="inlineStr">
        <is>
          <t>compares_state_to</t>
        </is>
      </c>
      <c r="B21" s="13" t="inlineStr">
        <is>
          <t>сравнивает состояние с</t>
        </is>
      </c>
      <c r="C21" s="13" t="inlineStr"/>
      <c r="D21" s="13" t="inlineStr">
        <is>
          <t>analogy</t>
        </is>
      </c>
      <c r="E21" s="13" t="inlineStr">
        <is>
          <t>state</t>
        </is>
      </c>
      <c r="F21" s="13" t="inlineStr">
        <is>
          <t>seed</t>
        </is>
      </c>
      <c r="G21" s="13" t="inlineStr"/>
      <c r="H21" s="13" t="n">
        <v>1</v>
      </c>
      <c r="I21" s="13" t="inlineStr">
        <is>
          <t>source_edge</t>
        </is>
      </c>
    </row>
    <row r="22" ht="32" customHeight="1">
      <c r="A22" s="12" t="inlineStr">
        <is>
          <t>concerns</t>
        </is>
      </c>
      <c r="B22" s="12" t="inlineStr">
        <is>
          <t>касается</t>
        </is>
      </c>
      <c r="C22" s="12" t="inlineStr"/>
      <c r="D22" s="12" t="inlineStr">
        <is>
          <t>event|state</t>
        </is>
      </c>
      <c r="E22" s="12" t="inlineStr">
        <is>
          <t>concept|hinge-term|quality|quality-substance|route</t>
        </is>
      </c>
      <c r="F22" s="12" t="inlineStr">
        <is>
          <t>seed</t>
        </is>
      </c>
      <c r="G22" s="12" t="inlineStr"/>
      <c r="H22" s="12" t="n">
        <v>5</v>
      </c>
      <c r="I22" s="12" t="inlineStr">
        <is>
          <t>source_edge</t>
        </is>
      </c>
    </row>
    <row r="23" ht="32" customHeight="1">
      <c r="A23" s="13" t="inlineStr">
        <is>
          <t>continues_until</t>
        </is>
      </c>
      <c r="B23" s="13" t="inlineStr">
        <is>
          <t>длится до</t>
        </is>
      </c>
      <c r="C23" s="13" t="inlineStr"/>
      <c r="D23" s="13" t="inlineStr">
        <is>
          <t>event</t>
        </is>
      </c>
      <c r="E23" s="13" t="inlineStr">
        <is>
          <t>state</t>
        </is>
      </c>
      <c r="F23" s="13" t="inlineStr">
        <is>
          <t>seed</t>
        </is>
      </c>
      <c r="G23" s="13" t="inlineStr"/>
      <c r="H23" s="13" t="n">
        <v>1</v>
      </c>
      <c r="I23" s="13" t="inlineStr">
        <is>
          <t>source_edge</t>
        </is>
      </c>
    </row>
    <row r="24" ht="32" customHeight="1">
      <c r="A24" s="12" t="inlineStr">
        <is>
          <t>culminates_in</t>
        </is>
      </c>
      <c r="B24" s="12" t="inlineStr">
        <is>
          <t>кульминирует в</t>
        </is>
      </c>
      <c r="C24" s="12" t="inlineStr"/>
      <c r="D24" s="12" t="inlineStr">
        <is>
          <t>event|principle|state</t>
        </is>
      </c>
      <c r="E24" s="12" t="inlineStr">
        <is>
          <t>event|principle</t>
        </is>
      </c>
      <c r="F24" s="12" t="inlineStr">
        <is>
          <t>seed</t>
        </is>
      </c>
      <c r="G24" s="12" t="inlineStr"/>
      <c r="H24" s="12" t="n">
        <v>3</v>
      </c>
      <c r="I24" s="12" t="inlineStr">
        <is>
          <t>bridge_edge|principle_edge</t>
        </is>
      </c>
    </row>
    <row r="25" ht="32" customHeight="1">
      <c r="A25" s="13" t="inlineStr">
        <is>
          <t>delights_in</t>
        </is>
      </c>
      <c r="B25" s="13" t="inlineStr">
        <is>
          <t>вкушает / наслаждается</t>
        </is>
      </c>
      <c r="C25" s="13" t="inlineStr"/>
      <c r="D25" s="13" t="inlineStr">
        <is>
          <t>state</t>
        </is>
      </c>
      <c r="E25" s="13" t="inlineStr">
        <is>
          <t>inner_resource|state-concept</t>
        </is>
      </c>
      <c r="F25" s="13" t="inlineStr">
        <is>
          <t>seed</t>
        </is>
      </c>
      <c r="G25" s="13" t="inlineStr"/>
      <c r="H25" s="13" t="n">
        <v>2</v>
      </c>
      <c r="I25" s="13" t="inlineStr">
        <is>
          <t>source_edge</t>
        </is>
      </c>
    </row>
    <row r="26" ht="32" customHeight="1">
      <c r="A26" s="12" t="inlineStr">
        <is>
          <t>depends_on</t>
        </is>
      </c>
      <c r="B26" s="12" t="inlineStr">
        <is>
          <t>зависит от</t>
        </is>
      </c>
      <c r="C26" s="12" t="inlineStr"/>
      <c r="D26" s="12" t="inlineStr">
        <is>
          <t>quality</t>
        </is>
      </c>
      <c r="E26" s="12" t="inlineStr">
        <is>
          <t>relational_group</t>
        </is>
      </c>
      <c r="F26" s="12" t="inlineStr">
        <is>
          <t>seed</t>
        </is>
      </c>
      <c r="G26" s="12" t="inlineStr"/>
      <c r="H26" s="12" t="n">
        <v>1</v>
      </c>
      <c r="I26" s="12" t="inlineStr">
        <is>
          <t>source_edge</t>
        </is>
      </c>
    </row>
    <row r="27" ht="32" customHeight="1">
      <c r="A27" s="13" t="inlineStr">
        <is>
          <t>destination</t>
        </is>
      </c>
      <c r="B27" s="13" t="inlineStr">
        <is>
          <t>направляется в</t>
        </is>
      </c>
      <c r="C27" s="13" t="inlineStr"/>
      <c r="D27" s="13" t="inlineStr">
        <is>
          <t>event</t>
        </is>
      </c>
      <c r="E27" s="13" t="inlineStr">
        <is>
          <t>destination-symbol|place-threshold|underworld-domain</t>
        </is>
      </c>
      <c r="F27" s="13" t="inlineStr">
        <is>
          <t>seed</t>
        </is>
      </c>
      <c r="G27" s="13" t="inlineStr"/>
      <c r="H27" s="13" t="n">
        <v>3</v>
      </c>
      <c r="I27" s="13" t="inlineStr">
        <is>
          <t>source_edge</t>
        </is>
      </c>
    </row>
    <row r="28" ht="32" customHeight="1">
      <c r="A28" s="12" t="inlineStr">
        <is>
          <t>duration</t>
        </is>
      </c>
      <c r="B28" s="12" t="inlineStr">
        <is>
          <t>имеет длительность</t>
        </is>
      </c>
      <c r="C28" s="12" t="inlineStr"/>
      <c r="D28" s="12" t="inlineStr">
        <is>
          <t>event|state</t>
        </is>
      </c>
      <c r="E28" s="12" t="inlineStr">
        <is>
          <t>literal</t>
        </is>
      </c>
      <c r="F28" s="12" t="inlineStr">
        <is>
          <t>seed</t>
        </is>
      </c>
      <c r="G28" s="12" t="inlineStr"/>
      <c r="H28" s="12" t="n">
        <v>2</v>
      </c>
      <c r="I28" s="12" t="inlineStr">
        <is>
          <t>source_edge</t>
        </is>
      </c>
    </row>
    <row r="29" ht="32" customHeight="1">
      <c r="A29" s="13" t="inlineStr">
        <is>
          <t>enters_state</t>
        </is>
      </c>
      <c r="B29" s="13" t="inlineStr">
        <is>
          <t>входит в состояние</t>
        </is>
      </c>
      <c r="C29" s="13" t="inlineStr"/>
      <c r="D29" s="13" t="inlineStr">
        <is>
          <t>persona</t>
        </is>
      </c>
      <c r="E29" s="13" t="inlineStr">
        <is>
          <t>state</t>
        </is>
      </c>
      <c r="F29" s="13" t="inlineStr">
        <is>
          <t>seed</t>
        </is>
      </c>
      <c r="G29" s="13" t="inlineStr"/>
      <c r="H29" s="13" t="n">
        <v>3</v>
      </c>
      <c r="I29" s="13" t="inlineStr">
        <is>
          <t>source_edge</t>
        </is>
      </c>
    </row>
    <row r="30" ht="32" customHeight="1">
      <c r="A30" s="12" t="inlineStr">
        <is>
          <t>excludes</t>
        </is>
      </c>
      <c r="B30" s="12" t="inlineStr">
        <is>
          <t>исключает</t>
        </is>
      </c>
      <c r="C30" s="12" t="inlineStr"/>
      <c r="D30" s="12" t="inlineStr">
        <is>
          <t>state</t>
        </is>
      </c>
      <c r="E30" s="12" t="inlineStr">
        <is>
          <t>negative-affect</t>
        </is>
      </c>
      <c r="F30" s="12" t="inlineStr">
        <is>
          <t>seed</t>
        </is>
      </c>
      <c r="G30" s="12" t="inlineStr"/>
      <c r="H30" s="12" t="n">
        <v>1</v>
      </c>
      <c r="I30" s="12" t="inlineStr">
        <is>
          <t>source_edge</t>
        </is>
      </c>
    </row>
    <row r="31" ht="32" customHeight="1">
      <c r="A31" s="13" t="inlineStr">
        <is>
          <t>for</t>
        </is>
      </c>
      <c r="B31" s="13" t="inlineStr">
        <is>
          <t>за / по причине</t>
        </is>
      </c>
      <c r="C31" s="13" t="inlineStr"/>
      <c r="D31" s="13" t="inlineStr">
        <is>
          <t>event</t>
        </is>
      </c>
      <c r="E31" s="13" t="inlineStr">
        <is>
          <t>abundance</t>
        </is>
      </c>
      <c r="F31" s="13" t="inlineStr">
        <is>
          <t>seed</t>
        </is>
      </c>
      <c r="G31" s="13" t="inlineStr"/>
      <c r="H31" s="13" t="n">
        <v>1</v>
      </c>
      <c r="I31" s="13" t="inlineStr">
        <is>
          <t>source_edge</t>
        </is>
      </c>
    </row>
    <row r="32" ht="32" customHeight="1">
      <c r="A32" s="12" t="inlineStr">
        <is>
          <t>formalizes</t>
        </is>
      </c>
      <c r="B32" s="12" t="inlineStr">
        <is>
          <t>оформляет</t>
        </is>
      </c>
      <c r="C32" s="12" t="inlineStr"/>
      <c r="D32" s="12" t="inlineStr">
        <is>
          <t>principle</t>
        </is>
      </c>
      <c r="E32" s="12" t="inlineStr">
        <is>
          <t>principle</t>
        </is>
      </c>
      <c r="F32" s="12" t="inlineStr">
        <is>
          <t>seed</t>
        </is>
      </c>
      <c r="G32" s="12" t="inlineStr"/>
      <c r="H32" s="12" t="n">
        <v>1</v>
      </c>
      <c r="I32" s="12" t="inlineStr">
        <is>
          <t>principle_edge</t>
        </is>
      </c>
    </row>
    <row r="33" ht="32" customHeight="1">
      <c r="A33" s="13" t="inlineStr">
        <is>
          <t>from</t>
        </is>
      </c>
      <c r="B33" s="13" t="inlineStr">
        <is>
          <t>от</t>
        </is>
      </c>
      <c r="C33" s="13" t="inlineStr"/>
      <c r="D33" s="13" t="inlineStr">
        <is>
          <t>event</t>
        </is>
      </c>
      <c r="E33" s="13" t="inlineStr">
        <is>
          <t>cosmic_entity</t>
        </is>
      </c>
      <c r="F33" s="13" t="inlineStr">
        <is>
          <t>seed</t>
        </is>
      </c>
      <c r="G33" s="13" t="inlineStr"/>
      <c r="H33" s="13" t="n">
        <v>1</v>
      </c>
      <c r="I33" s="13" t="inlineStr">
        <is>
          <t>source_edge</t>
        </is>
      </c>
    </row>
    <row r="34" ht="32" customHeight="1">
      <c r="A34" s="12" t="inlineStr">
        <is>
          <t>gathers</t>
        </is>
      </c>
      <c r="B34" s="12" t="inlineStr">
        <is>
          <t>собирает</t>
        </is>
      </c>
      <c r="C34" s="12" t="inlineStr"/>
      <c r="D34" s="12" t="inlineStr">
        <is>
          <t>analogy-animal</t>
        </is>
      </c>
      <c r="E34" s="12" t="inlineStr">
        <is>
          <t>substance</t>
        </is>
      </c>
      <c r="F34" s="12" t="inlineStr">
        <is>
          <t>seed</t>
        </is>
      </c>
      <c r="G34" s="12" t="inlineStr"/>
      <c r="H34" s="12" t="n">
        <v>1</v>
      </c>
      <c r="I34" s="12" t="inlineStr">
        <is>
          <t>source_edge</t>
        </is>
      </c>
    </row>
    <row r="35" ht="32" customHeight="1">
      <c r="A35" s="13" t="inlineStr">
        <is>
          <t>goes_to</t>
        </is>
      </c>
      <c r="B35" s="13" t="inlineStr">
        <is>
          <t>идёт в</t>
        </is>
      </c>
      <c r="C35" s="13" t="inlineStr"/>
      <c r="D35" s="13" t="inlineStr">
        <is>
          <t>event</t>
        </is>
      </c>
      <c r="E35" s="13" t="inlineStr">
        <is>
          <t>place</t>
        </is>
      </c>
      <c r="F35" s="13" t="inlineStr">
        <is>
          <t>seed</t>
        </is>
      </c>
      <c r="G35" s="13" t="inlineStr"/>
      <c r="H35" s="13" t="n">
        <v>1</v>
      </c>
      <c r="I35" s="13" t="inlineStr">
        <is>
          <t>source_edge</t>
        </is>
      </c>
    </row>
    <row r="36" ht="32" customHeight="1">
      <c r="A36" s="12" t="inlineStr">
        <is>
          <t>has_mode</t>
        </is>
      </c>
      <c r="B36" s="12" t="inlineStr">
        <is>
          <t>имеет модус</t>
        </is>
      </c>
      <c r="C36" s="12" t="inlineStr"/>
      <c r="D36" s="12" t="inlineStr">
        <is>
          <t>event</t>
        </is>
      </c>
      <c r="E36" s="12" t="inlineStr">
        <is>
          <t>act-mode</t>
        </is>
      </c>
      <c r="F36" s="12" t="inlineStr">
        <is>
          <t>seed</t>
        </is>
      </c>
      <c r="G36" s="12" t="inlineStr"/>
      <c r="H36" s="12" t="n">
        <v>2</v>
      </c>
      <c r="I36" s="12" t="inlineStr">
        <is>
          <t>source_edge</t>
        </is>
      </c>
    </row>
    <row r="37" ht="32" customHeight="1">
      <c r="A37" s="13" t="inlineStr">
        <is>
          <t>has_quality</t>
        </is>
      </c>
      <c r="B37" s="13" t="inlineStr">
        <is>
          <t>имеет качество</t>
        </is>
      </c>
      <c r="C37" s="13" t="inlineStr"/>
      <c r="D37" s="13" t="inlineStr">
        <is>
          <t>event</t>
        </is>
      </c>
      <c r="E37" s="13" t="inlineStr">
        <is>
          <t>quality</t>
        </is>
      </c>
      <c r="F37" s="13" t="inlineStr">
        <is>
          <t>seed</t>
        </is>
      </c>
      <c r="G37" s="13" t="inlineStr"/>
      <c r="H37" s="13" t="n">
        <v>1</v>
      </c>
      <c r="I37" s="13" t="inlineStr">
        <is>
          <t>source_edge</t>
        </is>
      </c>
    </row>
    <row r="38" ht="32" customHeight="1">
      <c r="A38" s="12" t="inlineStr">
        <is>
          <t>has_quantity</t>
        </is>
      </c>
      <c r="B38" s="12" t="inlineStr">
        <is>
          <t>имеет количество</t>
        </is>
      </c>
      <c r="C38" s="12" t="inlineStr"/>
      <c r="D38" s="12" t="inlineStr">
        <is>
          <t>substance</t>
        </is>
      </c>
      <c r="E38" s="12" t="inlineStr">
        <is>
          <t>literal</t>
        </is>
      </c>
      <c r="F38" s="12" t="inlineStr">
        <is>
          <t>seed</t>
        </is>
      </c>
      <c r="G38" s="12" t="inlineStr"/>
      <c r="H38" s="12" t="n">
        <v>1</v>
      </c>
      <c r="I38" s="12" t="inlineStr">
        <is>
          <t>source_edge</t>
        </is>
      </c>
    </row>
    <row r="39" ht="32" customHeight="1">
      <c r="A39" s="13" t="inlineStr">
        <is>
          <t>includes</t>
        </is>
      </c>
      <c r="B39" s="13" t="inlineStr">
        <is>
          <t>включает</t>
        </is>
      </c>
      <c r="C39" s="13" t="inlineStr"/>
      <c r="D39" s="13" t="inlineStr">
        <is>
          <t>collective_subject</t>
        </is>
      </c>
      <c r="E39" s="13" t="inlineStr">
        <is>
          <t>animal-symbol|persona</t>
        </is>
      </c>
      <c r="F39" s="13" t="inlineStr">
        <is>
          <t>seed</t>
        </is>
      </c>
      <c r="G39" s="13" t="inlineStr"/>
      <c r="H39" s="13" t="n">
        <v>3</v>
      </c>
      <c r="I39" s="13" t="inlineStr">
        <is>
          <t>source_edge</t>
        </is>
      </c>
    </row>
    <row r="40" ht="32" customHeight="1">
      <c r="A40" s="12" t="inlineStr">
        <is>
          <t>leads_to</t>
        </is>
      </c>
      <c r="B40" s="12" t="inlineStr">
        <is>
          <t>ведёт к</t>
        </is>
      </c>
      <c r="C40" s="12" t="inlineStr"/>
      <c r="D40" s="12" t="inlineStr">
        <is>
          <t>event|principle|state</t>
        </is>
      </c>
      <c r="E40" s="12" t="inlineStr">
        <is>
          <t>event|principle</t>
        </is>
      </c>
      <c r="F40" s="12" t="inlineStr">
        <is>
          <t>seed</t>
        </is>
      </c>
      <c r="G40" s="12" t="inlineStr"/>
      <c r="H40" s="12" t="n">
        <v>7</v>
      </c>
      <c r="I40" s="12" t="inlineStr">
        <is>
          <t>bridge_edge|principle_edge</t>
        </is>
      </c>
    </row>
    <row r="41" ht="32" customHeight="1">
      <c r="A41" s="13" t="inlineStr">
        <is>
          <t>leaves</t>
        </is>
      </c>
      <c r="B41" s="13" t="inlineStr">
        <is>
          <t>покидает</t>
        </is>
      </c>
      <c r="C41" s="13" t="inlineStr"/>
      <c r="D41" s="13" t="inlineStr">
        <is>
          <t>event</t>
        </is>
      </c>
      <c r="E41" s="13" t="inlineStr">
        <is>
          <t>place|place-symbol</t>
        </is>
      </c>
      <c r="F41" s="13" t="inlineStr">
        <is>
          <t>seed</t>
        </is>
      </c>
      <c r="G41" s="13" t="inlineStr"/>
      <c r="H41" s="13" t="n">
        <v>2</v>
      </c>
      <c r="I41" s="13" t="inlineStr">
        <is>
          <t>source_edge</t>
        </is>
      </c>
    </row>
    <row r="42" ht="32" customHeight="1">
      <c r="A42" s="12" t="inlineStr">
        <is>
          <t>mirrors</t>
        </is>
      </c>
      <c r="B42" s="12" t="inlineStr">
        <is>
          <t>отзеркаливает</t>
        </is>
      </c>
      <c r="C42" s="12" t="inlineStr"/>
      <c r="D42" s="12" t="inlineStr">
        <is>
          <t>event|state</t>
        </is>
      </c>
      <c r="E42" s="12" t="inlineStr">
        <is>
          <t>event|state</t>
        </is>
      </c>
      <c r="F42" s="12" t="inlineStr">
        <is>
          <t>seed</t>
        </is>
      </c>
      <c r="G42" s="12" t="inlineStr"/>
      <c r="H42" s="12" t="n">
        <v>2</v>
      </c>
      <c r="I42" s="12" t="inlineStr">
        <is>
          <t>source_edge</t>
        </is>
      </c>
    </row>
    <row r="43" ht="32" customHeight="1">
      <c r="A43" s="13" t="inlineStr">
        <is>
          <t>motivated_by</t>
        </is>
      </c>
      <c r="B43" s="13" t="inlineStr">
        <is>
          <t>движимо</t>
        </is>
      </c>
      <c r="C43" s="13" t="inlineStr"/>
      <c r="D43" s="13" t="inlineStr">
        <is>
          <t>event</t>
        </is>
      </c>
      <c r="E43" s="13" t="inlineStr">
        <is>
          <t>event|state</t>
        </is>
      </c>
      <c r="F43" s="13" t="inlineStr">
        <is>
          <t>seed</t>
        </is>
      </c>
      <c r="G43" s="13" t="inlineStr"/>
      <c r="H43" s="13" t="n">
        <v>2</v>
      </c>
      <c r="I43" s="13" t="inlineStr">
        <is>
          <t>source_edge</t>
        </is>
      </c>
    </row>
    <row r="44" ht="32" customHeight="1">
      <c r="A44" s="12" t="inlineStr">
        <is>
          <t>moves_beyond</t>
        </is>
      </c>
      <c r="B44" s="12" t="inlineStr">
        <is>
          <t>уходит за</t>
        </is>
      </c>
      <c r="C44" s="12" t="inlineStr"/>
      <c r="D44" s="12" t="inlineStr">
        <is>
          <t>event</t>
        </is>
      </c>
      <c r="E44" s="12" t="inlineStr">
        <is>
          <t>threshold-place</t>
        </is>
      </c>
      <c r="F44" s="12" t="inlineStr">
        <is>
          <t>seed</t>
        </is>
      </c>
      <c r="G44" s="12" t="inlineStr"/>
      <c r="H44" s="12" t="n">
        <v>1</v>
      </c>
      <c r="I44" s="12" t="inlineStr">
        <is>
          <t>source_edge</t>
        </is>
      </c>
    </row>
    <row r="45" ht="32" customHeight="1">
      <c r="A45" s="13" t="inlineStr">
        <is>
          <t>names_descent_as</t>
        </is>
      </c>
      <c r="B45" s="13" t="inlineStr">
        <is>
          <t>называет нисхождение как</t>
        </is>
      </c>
      <c r="C45" s="13" t="inlineStr"/>
      <c r="D45" s="13" t="inlineStr">
        <is>
          <t>relational_group</t>
        </is>
      </c>
      <c r="E45" s="13" t="inlineStr">
        <is>
          <t>hinge-term</t>
        </is>
      </c>
      <c r="F45" s="13" t="inlineStr">
        <is>
          <t>seed</t>
        </is>
      </c>
      <c r="G45" s="13" t="inlineStr"/>
      <c r="H45" s="13" t="n">
        <v>1</v>
      </c>
      <c r="I45" s="13" t="inlineStr">
        <is>
          <t>source_edge</t>
        </is>
      </c>
    </row>
    <row r="46" ht="32" customHeight="1">
      <c r="A46" s="12" t="inlineStr">
        <is>
          <t>occurs_every</t>
        </is>
      </c>
      <c r="B46" s="12" t="inlineStr">
        <is>
          <t>повторяется каждое</t>
        </is>
      </c>
      <c r="C46" s="12" t="inlineStr"/>
      <c r="D46" s="12" t="inlineStr">
        <is>
          <t>event</t>
        </is>
      </c>
      <c r="E46" s="12" t="inlineStr">
        <is>
          <t>time</t>
        </is>
      </c>
      <c r="F46" s="12" t="inlineStr">
        <is>
          <t>seed</t>
        </is>
      </c>
      <c r="G46" s="12" t="inlineStr"/>
      <c r="H46" s="12" t="n">
        <v>1</v>
      </c>
      <c r="I46" s="12" t="inlineStr">
        <is>
          <t>source_edge</t>
        </is>
      </c>
    </row>
    <row r="47" ht="32" customHeight="1">
      <c r="A47" s="13" t="inlineStr">
        <is>
          <t>occurs_in</t>
        </is>
      </c>
      <c r="B47" s="13" t="inlineStr">
        <is>
          <t>происходит в</t>
        </is>
      </c>
      <c r="C47" s="13" t="inlineStr"/>
      <c r="D47" s="13" t="inlineStr">
        <is>
          <t>event</t>
        </is>
      </c>
      <c r="E47" s="13" t="inlineStr">
        <is>
          <t>time-symbol</t>
        </is>
      </c>
      <c r="F47" s="13" t="inlineStr">
        <is>
          <t>seed</t>
        </is>
      </c>
      <c r="G47" s="13" t="inlineStr"/>
      <c r="H47" s="13" t="n">
        <v>1</v>
      </c>
      <c r="I47" s="13" t="inlineStr">
        <is>
          <t>source_edge</t>
        </is>
      </c>
    </row>
    <row r="48" ht="32" customHeight="1">
      <c r="A48" s="12" t="inlineStr">
        <is>
          <t>occurs_with</t>
        </is>
      </c>
      <c r="B48" s="12" t="inlineStr">
        <is>
          <t>происходит вместе с</t>
        </is>
      </c>
      <c r="C48" s="12" t="inlineStr"/>
      <c r="D48" s="12" t="inlineStr">
        <is>
          <t>event</t>
        </is>
      </c>
      <c r="E48" s="12" t="inlineStr">
        <is>
          <t>time-symbol</t>
        </is>
      </c>
      <c r="F48" s="12" t="inlineStr">
        <is>
          <t>seed</t>
        </is>
      </c>
      <c r="G48" s="12" t="inlineStr"/>
      <c r="H48" s="12" t="n">
        <v>1</v>
      </c>
      <c r="I48" s="12" t="inlineStr">
        <is>
          <t>source_edge</t>
        </is>
      </c>
    </row>
    <row r="49" ht="32" customHeight="1">
      <c r="A49" s="13" t="inlineStr">
        <is>
          <t>originates_from</t>
        </is>
      </c>
      <c r="B49" s="13" t="inlineStr">
        <is>
          <t>истекает из</t>
        </is>
      </c>
      <c r="C49" s="13" t="inlineStr"/>
      <c r="D49" s="13" t="inlineStr">
        <is>
          <t>event</t>
        </is>
      </c>
      <c r="E49" s="13" t="inlineStr">
        <is>
          <t>vessel-symbol</t>
        </is>
      </c>
      <c r="F49" s="13" t="inlineStr">
        <is>
          <t>seed</t>
        </is>
      </c>
      <c r="G49" s="13" t="inlineStr"/>
      <c r="H49" s="13" t="n">
        <v>1</v>
      </c>
      <c r="I49" s="13" t="inlineStr">
        <is>
          <t>source_edge</t>
        </is>
      </c>
    </row>
    <row r="50" ht="32" customHeight="1">
      <c r="A50" s="12" t="inlineStr">
        <is>
          <t>parallels</t>
        </is>
      </c>
      <c r="B50" s="12" t="inlineStr">
        <is>
          <t>параллелен</t>
        </is>
      </c>
      <c r="C50" s="12" t="inlineStr"/>
      <c r="D50" s="12" t="inlineStr">
        <is>
          <t>event</t>
        </is>
      </c>
      <c r="E50" s="12" t="inlineStr">
        <is>
          <t>event</t>
        </is>
      </c>
      <c r="F50" s="12" t="inlineStr">
        <is>
          <t>seed</t>
        </is>
      </c>
      <c r="G50" s="12" t="inlineStr"/>
      <c r="H50" s="12" t="n">
        <v>1</v>
      </c>
      <c r="I50" s="12" t="inlineStr">
        <is>
          <t>source_edge</t>
        </is>
      </c>
    </row>
    <row r="51" ht="32" customHeight="1">
      <c r="A51" s="13" t="inlineStr">
        <is>
          <t>participates_in</t>
        </is>
      </c>
      <c r="B51" s="13" t="inlineStr">
        <is>
          <t>участвует в</t>
        </is>
      </c>
      <c r="C51" s="13" t="inlineStr"/>
      <c r="D51" s="13" t="inlineStr">
        <is>
          <t>cosmic_entity|persona|solar-aspect|vessel-symbol</t>
        </is>
      </c>
      <c r="E51" s="13" t="inlineStr">
        <is>
          <t>event|state</t>
        </is>
      </c>
      <c r="F51" s="13" t="inlineStr">
        <is>
          <t>seed</t>
        </is>
      </c>
      <c r="G51" s="13" t="inlineStr"/>
      <c r="H51" s="13" t="n">
        <v>10</v>
      </c>
      <c r="I51" s="13" t="inlineStr">
        <is>
          <t>source_edge</t>
        </is>
      </c>
    </row>
    <row r="52" ht="32" customHeight="1">
      <c r="A52" s="12" t="inlineStr">
        <is>
          <t>performs</t>
        </is>
      </c>
      <c r="B52" s="12" t="inlineStr">
        <is>
          <t>совершает</t>
        </is>
      </c>
      <c r="C52" s="12" t="inlineStr"/>
      <c r="D52" s="12" t="inlineStr">
        <is>
          <t>collective_subject|persona</t>
        </is>
      </c>
      <c r="E52" s="12" t="inlineStr">
        <is>
          <t>event</t>
        </is>
      </c>
      <c r="F52" s="12" t="inlineStr">
        <is>
          <t>seed</t>
        </is>
      </c>
      <c r="G52" s="12" t="inlineStr"/>
      <c r="H52" s="12" t="n">
        <v>10</v>
      </c>
      <c r="I52" s="12" t="inlineStr">
        <is>
          <t>source_edge</t>
        </is>
      </c>
    </row>
    <row r="53" ht="32" customHeight="1">
      <c r="A53" s="13" t="inlineStr">
        <is>
          <t>pertains_to</t>
        </is>
      </c>
      <c r="B53" s="13" t="inlineStr">
        <is>
          <t>относится к</t>
        </is>
      </c>
      <c r="C53" s="13" t="inlineStr"/>
      <c r="D53" s="13" t="inlineStr">
        <is>
          <t>solar_quality</t>
        </is>
      </c>
      <c r="E53" s="13" t="inlineStr">
        <is>
          <t>cosmic_entity</t>
        </is>
      </c>
      <c r="F53" s="13" t="inlineStr">
        <is>
          <t>seed</t>
        </is>
      </c>
      <c r="G53" s="13" t="inlineStr"/>
      <c r="H53" s="13" t="n">
        <v>1</v>
      </c>
      <c r="I53" s="13" t="inlineStr">
        <is>
          <t>source_edge</t>
        </is>
      </c>
    </row>
    <row r="54" ht="32" customHeight="1">
      <c r="A54" s="12" t="inlineStr">
        <is>
          <t>prefigures</t>
        </is>
      </c>
      <c r="B54" s="12" t="inlineStr">
        <is>
          <t>предвосхищает</t>
        </is>
      </c>
      <c r="C54" s="12" t="inlineStr"/>
      <c r="D54" s="12" t="inlineStr">
        <is>
          <t>event|principle</t>
        </is>
      </c>
      <c r="E54" s="12" t="inlineStr">
        <is>
          <t>principle|state</t>
        </is>
      </c>
      <c r="F54" s="12" t="inlineStr">
        <is>
          <t>seed</t>
        </is>
      </c>
      <c r="G54" s="12" t="inlineStr"/>
      <c r="H54" s="12" t="n">
        <v>2</v>
      </c>
      <c r="I54" s="12" t="inlineStr">
        <is>
          <t>bridge_edge|principle_edge</t>
        </is>
      </c>
    </row>
    <row r="55" ht="32" customHeight="1">
      <c r="A55" s="13" t="inlineStr">
        <is>
          <t>prepares</t>
        </is>
      </c>
      <c r="B55" s="13" t="inlineStr">
        <is>
          <t>подготавливает</t>
        </is>
      </c>
      <c r="C55" s="13" t="inlineStr"/>
      <c r="D55" s="13" t="inlineStr">
        <is>
          <t>event|principle</t>
        </is>
      </c>
      <c r="E55" s="13" t="inlineStr">
        <is>
          <t>event|principle|state</t>
        </is>
      </c>
      <c r="F55" s="13" t="inlineStr">
        <is>
          <t>seed</t>
        </is>
      </c>
      <c r="G55" s="13" t="inlineStr"/>
      <c r="H55" s="13" t="n">
        <v>6</v>
      </c>
      <c r="I55" s="13" t="inlineStr">
        <is>
          <t>bridge_edge|principle_edge</t>
        </is>
      </c>
    </row>
    <row r="56" ht="32" customHeight="1">
      <c r="A56" s="12" t="inlineStr">
        <is>
          <t>prevented_by</t>
        </is>
      </c>
      <c r="B56" s="12" t="inlineStr">
        <is>
          <t>предотвращается через</t>
        </is>
      </c>
      <c r="C56" s="12" t="inlineStr"/>
      <c r="D56" s="12" t="inlineStr">
        <is>
          <t>state</t>
        </is>
      </c>
      <c r="E56" s="12" t="inlineStr">
        <is>
          <t>collective_subject</t>
        </is>
      </c>
      <c r="F56" s="12" t="inlineStr">
        <is>
          <t>seed</t>
        </is>
      </c>
      <c r="G56" s="12" t="inlineStr"/>
      <c r="H56" s="12" t="n">
        <v>1</v>
      </c>
      <c r="I56" s="12" t="inlineStr">
        <is>
          <t>source_edge</t>
        </is>
      </c>
    </row>
    <row r="57" ht="32" customHeight="1">
      <c r="A57" s="13" t="inlineStr">
        <is>
          <t>receives</t>
        </is>
      </c>
      <c r="B57" s="13" t="inlineStr">
        <is>
          <t>получает</t>
        </is>
      </c>
      <c r="C57" s="13" t="inlineStr"/>
      <c r="D57" s="13" t="inlineStr">
        <is>
          <t>event</t>
        </is>
      </c>
      <c r="E57" s="13" t="inlineStr">
        <is>
          <t>abundance</t>
        </is>
      </c>
      <c r="F57" s="13" t="inlineStr">
        <is>
          <t>seed</t>
        </is>
      </c>
      <c r="G57" s="13" t="inlineStr"/>
      <c r="H57" s="13" t="n">
        <v>1</v>
      </c>
      <c r="I57" s="13" t="inlineStr">
        <is>
          <t>source_edge</t>
        </is>
      </c>
    </row>
    <row r="58" ht="32" customHeight="1">
      <c r="A58" s="12" t="inlineStr">
        <is>
          <t>reflects</t>
        </is>
      </c>
      <c r="B58" s="12" t="inlineStr">
        <is>
          <t>отражает</t>
        </is>
      </c>
      <c r="C58" s="12" t="inlineStr"/>
      <c r="D58" s="12" t="inlineStr">
        <is>
          <t>reflective_quality</t>
        </is>
      </c>
      <c r="E58" s="12" t="inlineStr">
        <is>
          <t>solar_quality</t>
        </is>
      </c>
      <c r="F58" s="12" t="inlineStr">
        <is>
          <t>seed</t>
        </is>
      </c>
      <c r="G58" s="12" t="inlineStr"/>
      <c r="H58" s="12" t="n">
        <v>1</v>
      </c>
      <c r="I58" s="12" t="inlineStr">
        <is>
          <t>source_edge</t>
        </is>
      </c>
    </row>
    <row r="59" ht="32" customHeight="1">
      <c r="A59" s="13" t="inlineStr">
        <is>
          <t>requires</t>
        </is>
      </c>
      <c r="B59" s="13" t="inlineStr">
        <is>
          <t>требует</t>
        </is>
      </c>
      <c r="C59" s="13" t="inlineStr"/>
      <c r="D59" s="13" t="inlineStr">
        <is>
          <t>event</t>
        </is>
      </c>
      <c r="E59" s="13" t="inlineStr">
        <is>
          <t>recipient-interface</t>
        </is>
      </c>
      <c r="F59" s="13" t="inlineStr">
        <is>
          <t>seed</t>
        </is>
      </c>
      <c r="G59" s="13" t="inlineStr"/>
      <c r="H59" s="13" t="n">
        <v>1</v>
      </c>
      <c r="I59" s="13" t="inlineStr">
        <is>
          <t>source_edge</t>
        </is>
      </c>
    </row>
    <row r="60" ht="32" customHeight="1">
      <c r="A60" s="12" t="inlineStr">
        <is>
          <t>subset_of</t>
        </is>
      </c>
      <c r="B60" s="12" t="inlineStr">
        <is>
          <t>является подмножеством</t>
        </is>
      </c>
      <c r="C60" s="12" t="inlineStr"/>
      <c r="D60" s="12" t="inlineStr">
        <is>
          <t>subgroup</t>
        </is>
      </c>
      <c r="E60" s="12" t="inlineStr">
        <is>
          <t>relational_group</t>
        </is>
      </c>
      <c r="F60" s="12" t="inlineStr">
        <is>
          <t>seed</t>
        </is>
      </c>
      <c r="G60" s="12" t="inlineStr"/>
      <c r="H60" s="12" t="n">
        <v>2</v>
      </c>
      <c r="I60" s="12" t="inlineStr">
        <is>
          <t>source_edge</t>
        </is>
      </c>
    </row>
    <row r="61" ht="32" customHeight="1">
      <c r="A61" s="13" t="inlineStr">
        <is>
          <t>supported_by</t>
        </is>
      </c>
      <c r="B61" s="13" t="inlineStr">
        <is>
          <t>поддерживается</t>
        </is>
      </c>
      <c r="C61" s="13" t="inlineStr"/>
      <c r="D61" s="13" t="inlineStr">
        <is>
          <t>principle</t>
        </is>
      </c>
      <c r="E61" s="13" t="inlineStr">
        <is>
          <t>event|state</t>
        </is>
      </c>
      <c r="F61" s="13" t="inlineStr">
        <is>
          <t>seed</t>
        </is>
      </c>
      <c r="G61" s="13" t="inlineStr"/>
      <c r="H61" s="13" t="n">
        <v>14</v>
      </c>
      <c r="I61" s="13" t="inlineStr">
        <is>
          <t>principle_edge</t>
        </is>
      </c>
    </row>
    <row r="62" ht="32" customHeight="1">
      <c r="A62" s="12" t="inlineStr">
        <is>
          <t>targets</t>
        </is>
      </c>
      <c r="B62" s="12" t="inlineStr">
        <is>
          <t>направлено к</t>
        </is>
      </c>
      <c r="C62" s="12" t="inlineStr"/>
      <c r="D62" s="12" t="inlineStr">
        <is>
          <t>event|state</t>
        </is>
      </c>
      <c r="E62" s="12" t="inlineStr">
        <is>
          <t>cosmic_entity|relational_group|vessel-symbol</t>
        </is>
      </c>
      <c r="F62" s="12" t="inlineStr">
        <is>
          <t>seed</t>
        </is>
      </c>
      <c r="G62" s="12" t="inlineStr"/>
      <c r="H62" s="12" t="n">
        <v>5</v>
      </c>
      <c r="I62" s="12" t="inlineStr">
        <is>
          <t>source_edge</t>
        </is>
      </c>
    </row>
    <row r="63" ht="32" customHeight="1">
      <c r="A63" s="13" t="inlineStr">
        <is>
          <t>uses_image_of</t>
        </is>
      </c>
      <c r="B63" s="13" t="inlineStr">
        <is>
          <t>использует образ</t>
        </is>
      </c>
      <c r="C63" s="13" t="inlineStr"/>
      <c r="D63" s="13" t="inlineStr">
        <is>
          <t>analogy</t>
        </is>
      </c>
      <c r="E63" s="13" t="inlineStr">
        <is>
          <t>analogy-animal</t>
        </is>
      </c>
      <c r="F63" s="13" t="inlineStr">
        <is>
          <t>seed</t>
        </is>
      </c>
      <c r="G63" s="13" t="inlineStr"/>
      <c r="H63" s="13" t="n">
        <v>1</v>
      </c>
      <c r="I63" s="13" t="inlineStr">
        <is>
          <t>source_edge</t>
        </is>
      </c>
    </row>
    <row r="64" ht="32" customHeight="1">
      <c r="A64" s="12" t="inlineStr">
        <is>
          <t>uses_surface</t>
        </is>
      </c>
      <c r="B64" s="12" t="inlineStr">
        <is>
          <t>использует языковую поверхность</t>
        </is>
      </c>
      <c r="C64" s="12" t="inlineStr"/>
      <c r="D64" s="12" t="inlineStr">
        <is>
          <t>event</t>
        </is>
      </c>
      <c r="E64" s="12" t="inlineStr">
        <is>
          <t>hinge-term</t>
        </is>
      </c>
      <c r="F64" s="12" t="inlineStr">
        <is>
          <t>seed</t>
        </is>
      </c>
      <c r="G64" s="12" t="inlineStr"/>
      <c r="H64" s="12" t="n">
        <v>1</v>
      </c>
      <c r="I64" s="12" t="inlineStr">
        <is>
          <t>source_edge</t>
        </is>
      </c>
    </row>
  </sheetData>
  <autoFilter ref="A11:I64"/>
  <mergeCells count="5">
    <mergeCell ref="B7:I7"/>
    <mergeCell ref="B6:I6"/>
    <mergeCell ref="B5:I5"/>
    <mergeCell ref="B8:I8"/>
    <mergeCell ref="B4:I4"/>
  </mergeCells>
  <dataValidations count="1">
    <dataValidation sqref="F12:F64" showDropDown="0" showInputMessage="0" showErrorMessage="0" allowBlank="1" type="list">
      <formula1>"seed,open,useful,stabilized,deprecated"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1" workbookViewId="0">
      <pane xSplit="1" ySplit="11" topLeftCell="B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  <col width="30" customWidth="1" min="5" max="5"/>
    <col width="14" customWidth="1" min="6" max="6"/>
    <col width="14" customWidth="1" min="7" max="7"/>
    <col width="28" customWidth="1" min="8" max="8"/>
    <col width="14" customWidth="1" min="9" max="9"/>
  </cols>
  <sheetData>
    <row r="1" ht="20" customHeight="1">
      <c r="A1" s="9" t="inlineStr">
        <is>
          <t>Class registry (canonical + audit)</t>
        </is>
      </c>
    </row>
    <row r="2" ht="20" customHeight="1">
      <c r="A2" s="10" t="inlineStr">
        <is>
          <t>Канонический реестр class_id с trailing audit-метриками из master.</t>
        </is>
      </c>
    </row>
    <row r="3" ht="20" customHeight="1"/>
    <row r="4" ht="34" customHeight="1">
      <c r="A4" s="8" t="inlineStr">
        <is>
          <t>Источник</t>
        </is>
      </c>
      <c r="B4" s="4" t="inlineStr">
        <is>
          <t>Seed собран из from_class и to_class листа 15_Master_связность_1_12.</t>
        </is>
      </c>
    </row>
    <row r="5" ht="34" customHeight="1">
      <c r="A5" s="8" t="inlineStr">
        <is>
          <t>Наблюдение</t>
        </is>
      </c>
      <c r="B5" s="4" t="inlineStr">
        <is>
          <t>Сейчас в master 40 class labels. Часть из них явно устойчивые, часть просит parent/family и тест на почти-дубль.</t>
        </is>
      </c>
    </row>
    <row r="6" ht="34" customHeight="1">
      <c r="A6" s="8" t="inlineStr">
        <is>
          <t>Как использовать</t>
        </is>
      </c>
      <c r="B6" s="4" t="inlineStr">
        <is>
          <t>Сначала закрепить family/parent_class, затем сверять helper cols count_as_* и source_side, чтобы ловить почти-дубли и перекосы.</t>
        </is>
      </c>
    </row>
    <row r="7" ht="34" customHeight="1">
      <c r="A7" s="8" t="inlineStr">
        <is>
          <t>Что не делать</t>
        </is>
      </c>
      <c r="B7" s="4" t="inlineStr">
        <is>
          <t>Не создавать новые class labels без сверки с этим seed-реестром.</t>
        </is>
      </c>
    </row>
    <row r="8" ht="34" customHeight="1">
      <c r="A8" s="8" t="inlineStr">
        <is>
          <t>Связь с v6.1</t>
        </is>
      </c>
      <c r="B8" s="4" t="inlineStr">
        <is>
          <t>Этот лист уже говорит каноническими headers; helper metrics вынесены вправо и не спорят с contract-слоем.</t>
        </is>
      </c>
    </row>
    <row r="9" ht="20" customHeight="1"/>
    <row r="10" ht="20" customHeight="1"/>
    <row r="11" ht="28" customHeight="1">
      <c r="A11" s="11" t="inlineStr">
        <is>
          <t>class_id</t>
        </is>
      </c>
      <c r="B11" s="11" t="inlineStr">
        <is>
          <t>family</t>
        </is>
      </c>
      <c r="C11" s="11" t="inlineStr">
        <is>
          <t>parent_class</t>
        </is>
      </c>
      <c r="D11" s="11" t="inlineStr">
        <is>
          <t>status</t>
        </is>
      </c>
      <c r="E11" s="11" t="inlineStr">
        <is>
          <t>note</t>
        </is>
      </c>
      <c r="F11" s="11" t="inlineStr">
        <is>
          <t>count_as_from</t>
        </is>
      </c>
      <c r="G11" s="11" t="inlineStr">
        <is>
          <t>count_as_to</t>
        </is>
      </c>
      <c r="H11" s="11" t="inlineStr">
        <is>
          <t>example_id</t>
        </is>
      </c>
      <c r="I11" s="11" t="inlineStr">
        <is>
          <t>source_side</t>
        </is>
      </c>
    </row>
    <row r="12" ht="32" customHeight="1">
      <c r="A12" s="12" t="inlineStr">
        <is>
          <t>abundance</t>
        </is>
      </c>
      <c r="B12" s="12" t="inlineStr">
        <is>
          <t>graph_concept</t>
        </is>
      </c>
      <c r="C12" s="12" t="inlineStr"/>
      <c r="D12" s="12" t="inlineStr">
        <is>
          <t>seed</t>
        </is>
      </c>
      <c r="E12" s="12" t="inlineStr"/>
      <c r="F12" s="12" t="n">
        <v>0</v>
      </c>
      <c r="G12" s="12" t="n">
        <v>3</v>
      </c>
      <c r="H12" s="12" t="inlineStr">
        <is>
          <t>n.overflow</t>
        </is>
      </c>
      <c r="I12" s="12">
        <f>IF(AND(F12&gt;0,G12&gt;0),"from+to",IF(F12&gt;0,"from_only",IF(G12&gt;0,"to_only","unused")))</f>
        <v/>
      </c>
    </row>
    <row r="13" ht="32" customHeight="1">
      <c r="A13" s="13" t="inlineStr">
        <is>
          <t>act</t>
        </is>
      </c>
      <c r="B13" s="13" t="inlineStr">
        <is>
          <t>graph_entity</t>
        </is>
      </c>
      <c r="C13" s="13" t="inlineStr"/>
      <c r="D13" s="13" t="inlineStr">
        <is>
          <t>seed</t>
        </is>
      </c>
      <c r="E13" s="13" t="inlineStr"/>
      <c r="F13" s="13" t="n">
        <v>0</v>
      </c>
      <c r="G13" s="13" t="n">
        <v>1</v>
      </c>
      <c r="H13" s="13" t="inlineStr">
        <is>
          <t>n.blessing</t>
        </is>
      </c>
      <c r="I13" s="13">
        <f>IF(AND(F13&gt;0,G13&gt;0),"from+to",IF(F13&gt;0,"from_only",IF(G13&gt;0,"to_only","unused")))</f>
        <v/>
      </c>
    </row>
    <row r="14" ht="32" customHeight="1">
      <c r="A14" s="12" t="inlineStr">
        <is>
          <t>act-mode</t>
        </is>
      </c>
      <c r="B14" s="12" t="inlineStr">
        <is>
          <t>graph_entity</t>
        </is>
      </c>
      <c r="C14" s="12" t="inlineStr"/>
      <c r="D14" s="12" t="inlineStr">
        <is>
          <t>seed</t>
        </is>
      </c>
      <c r="E14" s="12" t="inlineStr"/>
      <c r="F14" s="12" t="n">
        <v>0</v>
      </c>
      <c r="G14" s="12" t="n">
        <v>2</v>
      </c>
      <c r="H14" s="12" t="inlineStr">
        <is>
          <t>n.bestowal</t>
        </is>
      </c>
      <c r="I14" s="12">
        <f>IF(AND(F14&gt;0,G14&gt;0),"from+to",IF(F14&gt;0,"from_only",IF(G14&gt;0,"to_only","unused")))</f>
        <v/>
      </c>
    </row>
    <row r="15" ht="32" customHeight="1">
      <c r="A15" s="13" t="inlineStr">
        <is>
          <t>analogy</t>
        </is>
      </c>
      <c r="B15" s="13" t="inlineStr">
        <is>
          <t>graph_dynamic</t>
        </is>
      </c>
      <c r="C15" s="13" t="inlineStr"/>
      <c r="D15" s="13" t="inlineStr">
        <is>
          <t>seed</t>
        </is>
      </c>
      <c r="E15" s="13" t="inlineStr"/>
      <c r="F15" s="13" t="n">
        <v>2</v>
      </c>
      <c r="G15" s="13" t="n">
        <v>0</v>
      </c>
      <c r="H15" s="13" t="inlineStr">
        <is>
          <t>ev.p5.bee_honey_analogy</t>
        </is>
      </c>
      <c r="I15" s="13">
        <f>IF(AND(F15&gt;0,G15&gt;0),"from+to",IF(F15&gt;0,"from_only",IF(G15&gt;0,"to_only","unused")))</f>
        <v/>
      </c>
    </row>
    <row r="16" ht="32" customHeight="1">
      <c r="A16" s="12" t="inlineStr">
        <is>
          <t>analogy-animal</t>
        </is>
      </c>
      <c r="B16" s="12" t="inlineStr">
        <is>
          <t>graph_entity</t>
        </is>
      </c>
      <c r="C16" s="12" t="inlineStr"/>
      <c r="D16" s="12" t="inlineStr">
        <is>
          <t>seed</t>
        </is>
      </c>
      <c r="E16" s="12" t="inlineStr"/>
      <c r="F16" s="12" t="n">
        <v>1</v>
      </c>
      <c r="G16" s="12" t="n">
        <v>1</v>
      </c>
      <c r="H16" s="12" t="inlineStr">
        <is>
          <t>n.bee</t>
        </is>
      </c>
      <c r="I16" s="12">
        <f>IF(AND(F16&gt;0,G16&gt;0),"from+to",IF(F16&gt;0,"from_only",IF(G16&gt;0,"to_only","unused")))</f>
        <v/>
      </c>
    </row>
    <row r="17" ht="32" customHeight="1">
      <c r="A17" s="13" t="inlineStr">
        <is>
          <t>animal-symbol</t>
        </is>
      </c>
      <c r="B17" s="13" t="inlineStr">
        <is>
          <t>graph_symbol</t>
        </is>
      </c>
      <c r="C17" s="13" t="inlineStr"/>
      <c r="D17" s="13" t="inlineStr">
        <is>
          <t>seed</t>
        </is>
      </c>
      <c r="E17" s="13" t="inlineStr"/>
      <c r="F17" s="13" t="n">
        <v>0</v>
      </c>
      <c r="G17" s="13" t="n">
        <v>2</v>
      </c>
      <c r="H17" s="13" t="inlineStr">
        <is>
          <t>n.eagle</t>
        </is>
      </c>
      <c r="I17" s="13">
        <f>IF(AND(F17&gt;0,G17&gt;0),"from+to",IF(F17&gt;0,"from_only",IF(G17&gt;0,"to_only","unused")))</f>
        <v/>
      </c>
    </row>
    <row r="18" ht="32" customHeight="1">
      <c r="A18" s="12" t="inlineStr">
        <is>
          <t>anthropic_state</t>
        </is>
      </c>
      <c r="B18" s="12" t="inlineStr">
        <is>
          <t>graph_concept</t>
        </is>
      </c>
      <c r="C18" s="12" t="inlineStr"/>
      <c r="D18" s="12" t="inlineStr">
        <is>
          <t>seed</t>
        </is>
      </c>
      <c r="E18" s="12" t="inlineStr"/>
      <c r="F18" s="12" t="n">
        <v>0</v>
      </c>
      <c r="G18" s="12" t="n">
        <v>1</v>
      </c>
      <c r="H18" s="12" t="inlineStr">
        <is>
          <t>n.human</t>
        </is>
      </c>
      <c r="I18" s="12">
        <f>IF(AND(F18&gt;0,G18&gt;0),"from+to",IF(F18&gt;0,"from_only",IF(G18&gt;0,"to_only","unused")))</f>
        <v/>
      </c>
    </row>
    <row r="19" ht="32" customHeight="1">
      <c r="A19" s="13" t="inlineStr">
        <is>
          <t>collective_subject</t>
        </is>
      </c>
      <c r="B19" s="13" t="inlineStr">
        <is>
          <t>graph_agent</t>
        </is>
      </c>
      <c r="C19" s="13" t="inlineStr"/>
      <c r="D19" s="13" t="inlineStr">
        <is>
          <t>seed</t>
        </is>
      </c>
      <c r="E19" s="13" t="inlineStr"/>
      <c r="F19" s="13" t="n">
        <v>6</v>
      </c>
      <c r="G19" s="13" t="n">
        <v>1</v>
      </c>
      <c r="H19" s="13" t="inlineStr">
        <is>
          <t>n.triad_zarathustra_eagle_serpent</t>
        </is>
      </c>
      <c r="I19" s="13">
        <f>IF(AND(F19&gt;0,G19&gt;0),"from+to",IF(F19&gt;0,"from_only",IF(G19&gt;0,"to_only","unused")))</f>
        <v/>
      </c>
    </row>
    <row r="20" ht="32" customHeight="1">
      <c r="A20" s="12" t="inlineStr">
        <is>
          <t>concept</t>
        </is>
      </c>
      <c r="B20" s="12" t="inlineStr">
        <is>
          <t>graph_concept</t>
        </is>
      </c>
      <c r="C20" s="12" t="inlineStr"/>
      <c r="D20" s="12" t="inlineStr">
        <is>
          <t>seed</t>
        </is>
      </c>
      <c r="E20" s="12" t="inlineStr"/>
      <c r="F20" s="12" t="n">
        <v>0</v>
      </c>
      <c r="G20" s="12" t="n">
        <v>2</v>
      </c>
      <c r="H20" s="12" t="inlineStr">
        <is>
          <t>n.wisdom</t>
        </is>
      </c>
      <c r="I20" s="12">
        <f>IF(AND(F20&gt;0,G20&gt;0),"from+to",IF(F20&gt;0,"from_only",IF(G20&gt;0,"to_only","unused")))</f>
        <v/>
      </c>
    </row>
    <row r="21" ht="32" customHeight="1">
      <c r="A21" s="13" t="inlineStr">
        <is>
          <t>concept-tension</t>
        </is>
      </c>
      <c r="B21" s="13" t="inlineStr">
        <is>
          <t>graph_concept</t>
        </is>
      </c>
      <c r="C21" s="13" t="inlineStr"/>
      <c r="D21" s="13" t="inlineStr">
        <is>
          <t>seed</t>
        </is>
      </c>
      <c r="E21" s="13" t="inlineStr"/>
      <c r="F21" s="13" t="n">
        <v>0</v>
      </c>
      <c r="G21" s="13" t="n">
        <v>1</v>
      </c>
      <c r="H21" s="13" t="inlineStr">
        <is>
          <t>n.folly</t>
        </is>
      </c>
      <c r="I21" s="13">
        <f>IF(AND(F21&gt;0,G21&gt;0),"from+to",IF(F21&gt;0,"from_only",IF(G21&gt;0,"to_only","unused")))</f>
        <v/>
      </c>
    </row>
    <row r="22" ht="32" customHeight="1">
      <c r="A22" s="12" t="inlineStr">
        <is>
          <t>cosmic_entity</t>
        </is>
      </c>
      <c r="B22" s="12" t="inlineStr">
        <is>
          <t>graph_entity</t>
        </is>
      </c>
      <c r="C22" s="12" t="inlineStr"/>
      <c r="D22" s="12" t="inlineStr">
        <is>
          <t>seed</t>
        </is>
      </c>
      <c r="E22" s="12" t="inlineStr"/>
      <c r="F22" s="12" t="n">
        <v>4</v>
      </c>
      <c r="G22" s="12" t="n">
        <v>6</v>
      </c>
      <c r="H22" s="12" t="inlineStr">
        <is>
          <t>n.sun</t>
        </is>
      </c>
      <c r="I22" s="12">
        <f>IF(AND(F22&gt;0,G22&gt;0),"from+to",IF(F22&gt;0,"from_only",IF(G22&gt;0,"to_only","unused")))</f>
        <v/>
      </c>
    </row>
    <row r="23" ht="32" customHeight="1">
      <c r="A23" s="13" t="inlineStr">
        <is>
          <t>destination-symbol</t>
        </is>
      </c>
      <c r="B23" s="13" t="inlineStr">
        <is>
          <t>graph_symbol</t>
        </is>
      </c>
      <c r="C23" s="13" t="inlineStr"/>
      <c r="D23" s="13" t="inlineStr">
        <is>
          <t>seed</t>
        </is>
      </c>
      <c r="E23" s="13" t="inlineStr"/>
      <c r="F23" s="13" t="n">
        <v>0</v>
      </c>
      <c r="G23" s="13" t="n">
        <v>1</v>
      </c>
      <c r="H23" s="13" t="inlineStr">
        <is>
          <t>n.depth</t>
        </is>
      </c>
      <c r="I23" s="13">
        <f>IF(AND(F23&gt;0,G23&gt;0),"from+to",IF(F23&gt;0,"from_only",IF(G23&gt;0,"to_only","unused")))</f>
        <v/>
      </c>
    </row>
    <row r="24" ht="32" customHeight="1">
      <c r="A24" s="12" t="inlineStr">
        <is>
          <t>event</t>
        </is>
      </c>
      <c r="B24" s="12" t="inlineStr">
        <is>
          <t>graph_dynamic</t>
        </is>
      </c>
      <c r="C24" s="12" t="inlineStr"/>
      <c r="D24" s="12" t="inlineStr">
        <is>
          <t>seed</t>
        </is>
      </c>
      <c r="E24" s="12" t="inlineStr"/>
      <c r="F24" s="12" t="n">
        <v>47</v>
      </c>
      <c r="G24" s="12" t="n">
        <v>36</v>
      </c>
      <c r="H24" s="12" t="inlineStr">
        <is>
          <t>ev.p1.departure_from_origin</t>
        </is>
      </c>
      <c r="I24" s="12">
        <f>IF(AND(F24&gt;0,G24&gt;0),"from+to",IF(F24&gt;0,"from_only",IF(G24&gt;0,"to_only","unused")))</f>
        <v/>
      </c>
    </row>
    <row r="25" ht="32" customHeight="1">
      <c r="A25" s="13" t="inlineStr">
        <is>
          <t>hinge-term</t>
        </is>
      </c>
      <c r="B25" s="13" t="inlineStr">
        <is>
          <t>graph_concept</t>
        </is>
      </c>
      <c r="C25" s="13" t="inlineStr"/>
      <c r="D25" s="13" t="inlineStr">
        <is>
          <t>seed</t>
        </is>
      </c>
      <c r="E25" s="13" t="inlineStr"/>
      <c r="F25" s="13" t="n">
        <v>0</v>
      </c>
      <c r="G25" s="13" t="n">
        <v>3</v>
      </c>
      <c r="H25" s="13" t="inlineStr">
        <is>
          <t>n.go_under</t>
        </is>
      </c>
      <c r="I25" s="13">
        <f>IF(AND(F25&gt;0,G25&gt;0),"from+to",IF(F25&gt;0,"from_only",IF(G25&gt;0,"to_only","unused")))</f>
        <v/>
      </c>
    </row>
    <row r="26" ht="32" customHeight="1">
      <c r="A26" s="12" t="inlineStr">
        <is>
          <t>inner_center</t>
        </is>
      </c>
      <c r="B26" s="12" t="inlineStr">
        <is>
          <t>graph_concept</t>
        </is>
      </c>
      <c r="C26" s="12" t="inlineStr"/>
      <c r="D26" s="12" t="inlineStr">
        <is>
          <t>seed</t>
        </is>
      </c>
      <c r="E26" s="12" t="inlineStr"/>
      <c r="F26" s="12" t="n">
        <v>0</v>
      </c>
      <c r="G26" s="12" t="n">
        <v>1</v>
      </c>
      <c r="H26" s="12" t="inlineStr">
        <is>
          <t>n.heart</t>
        </is>
      </c>
      <c r="I26" s="12">
        <f>IF(AND(F26&gt;0,G26&gt;0),"from+to",IF(F26&gt;0,"from_only",IF(G26&gt;0,"to_only","unused")))</f>
        <v/>
      </c>
    </row>
    <row r="27" ht="32" customHeight="1">
      <c r="A27" s="13" t="inlineStr">
        <is>
          <t>inner_resource</t>
        </is>
      </c>
      <c r="B27" s="13" t="inlineStr">
        <is>
          <t>graph_concept</t>
        </is>
      </c>
      <c r="C27" s="13" t="inlineStr"/>
      <c r="D27" s="13" t="inlineStr">
        <is>
          <t>seed</t>
        </is>
      </c>
      <c r="E27" s="13" t="inlineStr"/>
      <c r="F27" s="13" t="n">
        <v>0</v>
      </c>
      <c r="G27" s="13" t="n">
        <v>1</v>
      </c>
      <c r="H27" s="13" t="inlineStr">
        <is>
          <t>n.spirit</t>
        </is>
      </c>
      <c r="I27" s="13">
        <f>IF(AND(F27&gt;0,G27&gt;0),"from+to",IF(F27&gt;0,"from_only",IF(G27&gt;0,"to_only","unused")))</f>
        <v/>
      </c>
    </row>
    <row r="28" ht="32" customHeight="1">
      <c r="A28" s="12" t="inlineStr">
        <is>
          <t>literal</t>
        </is>
      </c>
      <c r="B28" s="12" t="inlineStr">
        <is>
          <t>graph_concept</t>
        </is>
      </c>
      <c r="C28" s="12" t="inlineStr"/>
      <c r="D28" s="12" t="inlineStr">
        <is>
          <t>seed</t>
        </is>
      </c>
      <c r="E28" s="12" t="inlineStr"/>
      <c r="F28" s="12" t="n">
        <v>0</v>
      </c>
      <c r="G28" s="12" t="n">
        <v>3</v>
      </c>
      <c r="H28" s="12" t="inlineStr">
        <is>
          <t>literal.ten_years</t>
        </is>
      </c>
      <c r="I28" s="12">
        <f>IF(AND(F28&gt;0,G28&gt;0),"from+to",IF(F28&gt;0,"from_only",IF(G28&gt;0,"to_only","unused")))</f>
        <v/>
      </c>
    </row>
    <row r="29" ht="32" customHeight="1">
      <c r="A29" s="13" t="inlineStr">
        <is>
          <t>negative-affect</t>
        </is>
      </c>
      <c r="B29" s="13" t="inlineStr">
        <is>
          <t>graph_quality</t>
        </is>
      </c>
      <c r="C29" s="13" t="inlineStr"/>
      <c r="D29" s="13" t="inlineStr">
        <is>
          <t>seed</t>
        </is>
      </c>
      <c r="E29" s="13" t="inlineStr"/>
      <c r="F29" s="13" t="n">
        <v>0</v>
      </c>
      <c r="G29" s="13" t="n">
        <v>1</v>
      </c>
      <c r="H29" s="13" t="inlineStr">
        <is>
          <t>n.envy</t>
        </is>
      </c>
      <c r="I29" s="13">
        <f>IF(AND(F29&gt;0,G29&gt;0),"from+to",IF(F29&gt;0,"from_only",IF(G29&gt;0,"to_only","unused")))</f>
        <v/>
      </c>
    </row>
    <row r="30" ht="32" customHeight="1">
      <c r="A30" s="12" t="inlineStr">
        <is>
          <t>persona</t>
        </is>
      </c>
      <c r="B30" s="12" t="inlineStr">
        <is>
          <t>graph_agent</t>
        </is>
      </c>
      <c r="C30" s="12" t="inlineStr"/>
      <c r="D30" s="12" t="inlineStr">
        <is>
          <t>seed</t>
        </is>
      </c>
      <c r="E30" s="12" t="inlineStr"/>
      <c r="F30" s="12" t="n">
        <v>12</v>
      </c>
      <c r="G30" s="12" t="n">
        <v>1</v>
      </c>
      <c r="H30" s="12" t="inlineStr">
        <is>
          <t>n.zarathustra</t>
        </is>
      </c>
      <c r="I30" s="12">
        <f>IF(AND(F30&gt;0,G30&gt;0),"from+to",IF(F30&gt;0,"from_only",IF(G30&gt;0,"to_only","unused")))</f>
        <v/>
      </c>
    </row>
    <row r="31" ht="32" customHeight="1">
      <c r="A31" s="13" t="inlineStr">
        <is>
          <t>place</t>
        </is>
      </c>
      <c r="B31" s="13" t="inlineStr">
        <is>
          <t>graph_place</t>
        </is>
      </c>
      <c r="C31" s="13" t="inlineStr"/>
      <c r="D31" s="13" t="inlineStr">
        <is>
          <t>seed</t>
        </is>
      </c>
      <c r="E31" s="13" t="inlineStr"/>
      <c r="F31" s="13" t="n">
        <v>0</v>
      </c>
      <c r="G31" s="13" t="n">
        <v>2</v>
      </c>
      <c r="H31" s="13" t="inlineStr">
        <is>
          <t>n.homeland</t>
        </is>
      </c>
      <c r="I31" s="13">
        <f>IF(AND(F31&gt;0,G31&gt;0),"from+to",IF(F31&gt;0,"from_only",IF(G31&gt;0,"to_only","unused")))</f>
        <v/>
      </c>
    </row>
    <row r="32" ht="32" customHeight="1">
      <c r="A32" s="12" t="inlineStr">
        <is>
          <t>place-symbol</t>
        </is>
      </c>
      <c r="B32" s="12" t="inlineStr">
        <is>
          <t>graph_place</t>
        </is>
      </c>
      <c r="C32" s="12" t="inlineStr"/>
      <c r="D32" s="12" t="inlineStr">
        <is>
          <t>seed</t>
        </is>
      </c>
      <c r="E32" s="12" t="inlineStr"/>
      <c r="F32" s="12" t="n">
        <v>0</v>
      </c>
      <c r="G32" s="12" t="n">
        <v>1</v>
      </c>
      <c r="H32" s="12" t="inlineStr">
        <is>
          <t>n.lake_of_homeland</t>
        </is>
      </c>
      <c r="I32" s="12">
        <f>IF(AND(F32&gt;0,G32&gt;0),"from+to",IF(F32&gt;0,"from_only",IF(G32&gt;0,"to_only","unused")))</f>
        <v/>
      </c>
    </row>
    <row r="33" ht="32" customHeight="1">
      <c r="A33" s="13" t="inlineStr">
        <is>
          <t>place-threshold</t>
        </is>
      </c>
      <c r="B33" s="13" t="inlineStr">
        <is>
          <t>graph_place</t>
        </is>
      </c>
      <c r="C33" s="13" t="inlineStr"/>
      <c r="D33" s="13" t="inlineStr">
        <is>
          <t>seed</t>
        </is>
      </c>
      <c r="E33" s="13" t="inlineStr"/>
      <c r="F33" s="13" t="n">
        <v>0</v>
      </c>
      <c r="G33" s="13" t="n">
        <v>1</v>
      </c>
      <c r="H33" s="13" t="inlineStr">
        <is>
          <t>n.cave</t>
        </is>
      </c>
      <c r="I33" s="13">
        <f>IF(AND(F33&gt;0,G33&gt;0),"from+to",IF(F33&gt;0,"from_only",IF(G33&gt;0,"to_only","unused")))</f>
        <v/>
      </c>
    </row>
    <row r="34" ht="32" customHeight="1">
      <c r="A34" s="12" t="inlineStr">
        <is>
          <t>principle</t>
        </is>
      </c>
      <c r="B34" s="12" t="inlineStr">
        <is>
          <t>graph_claim</t>
        </is>
      </c>
      <c r="C34" s="12" t="inlineStr"/>
      <c r="D34" s="12" t="inlineStr">
        <is>
          <t>seed</t>
        </is>
      </c>
      <c r="E34" s="12" t="inlineStr"/>
      <c r="F34" s="12" t="n">
        <v>22</v>
      </c>
      <c r="G34" s="12" t="n">
        <v>8</v>
      </c>
      <c r="H34" s="12" t="inlineStr">
        <is>
          <t>pr.solitude_as_ripening</t>
        </is>
      </c>
      <c r="I34" s="12">
        <f>IF(AND(F34&gt;0,G34&gt;0),"from+to",IF(F34&gt;0,"from_only",IF(G34&gt;0,"to_only","unused")))</f>
        <v/>
      </c>
    </row>
    <row r="35" ht="32" customHeight="1">
      <c r="A35" s="13" t="inlineStr">
        <is>
          <t>quality</t>
        </is>
      </c>
      <c r="B35" s="13" t="inlineStr">
        <is>
          <t>graph_quality</t>
        </is>
      </c>
      <c r="C35" s="13" t="inlineStr"/>
      <c r="D35" s="13" t="inlineStr">
        <is>
          <t>seed</t>
        </is>
      </c>
      <c r="E35" s="13" t="inlineStr"/>
      <c r="F35" s="13" t="n">
        <v>1</v>
      </c>
      <c r="G35" s="13" t="n">
        <v>3</v>
      </c>
      <c r="H35" s="13" t="inlineStr">
        <is>
          <t>n.happiness</t>
        </is>
      </c>
      <c r="I35" s="13">
        <f>IF(AND(F35&gt;0,G35&gt;0),"from+to",IF(F35&gt;0,"from_only",IF(G35&gt;0,"to_only","unused")))</f>
        <v/>
      </c>
    </row>
    <row r="36" ht="32" customHeight="1">
      <c r="A36" s="12" t="inlineStr">
        <is>
          <t>quality-substance</t>
        </is>
      </c>
      <c r="B36" s="12" t="inlineStr">
        <is>
          <t>graph_quality</t>
        </is>
      </c>
      <c r="C36" s="12" t="inlineStr"/>
      <c r="D36" s="12" t="inlineStr">
        <is>
          <t>seed</t>
        </is>
      </c>
      <c r="E36" s="12" t="inlineStr"/>
      <c r="F36" s="12" t="n">
        <v>0</v>
      </c>
      <c r="G36" s="12" t="n">
        <v>2</v>
      </c>
      <c r="H36" s="12" t="inlineStr">
        <is>
          <t>n.light</t>
        </is>
      </c>
      <c r="I36" s="12">
        <f>IF(AND(F36&gt;0,G36&gt;0),"from+to",IF(F36&gt;0,"from_only",IF(G36&gt;0,"to_only","unused")))</f>
        <v/>
      </c>
    </row>
    <row r="37" ht="32" customHeight="1">
      <c r="A37" s="13" t="inlineStr">
        <is>
          <t>recipient-interface</t>
        </is>
      </c>
      <c r="B37" s="13" t="inlineStr">
        <is>
          <t>graph_concept</t>
        </is>
      </c>
      <c r="C37" s="13" t="inlineStr"/>
      <c r="D37" s="13" t="inlineStr">
        <is>
          <t>seed</t>
        </is>
      </c>
      <c r="E37" s="13" t="inlineStr"/>
      <c r="F37" s="13" t="n">
        <v>0</v>
      </c>
      <c r="G37" s="13" t="n">
        <v>1</v>
      </c>
      <c r="H37" s="13" t="inlineStr">
        <is>
          <t>n.outstretched_hands</t>
        </is>
      </c>
      <c r="I37" s="13">
        <f>IF(AND(F37&gt;0,G37&gt;0),"from+to",IF(F37&gt;0,"from_only",IF(G37&gt;0,"to_only","unused")))</f>
        <v/>
      </c>
    </row>
    <row r="38" ht="32" customHeight="1">
      <c r="A38" s="12" t="inlineStr">
        <is>
          <t>reflective_quality</t>
        </is>
      </c>
      <c r="B38" s="12" t="inlineStr">
        <is>
          <t>graph_quality</t>
        </is>
      </c>
      <c r="C38" s="12" t="inlineStr"/>
      <c r="D38" s="12" t="inlineStr">
        <is>
          <t>seed</t>
        </is>
      </c>
      <c r="E38" s="12" t="inlineStr"/>
      <c r="F38" s="12" t="n">
        <v>1</v>
      </c>
      <c r="G38" s="12" t="n">
        <v>1</v>
      </c>
      <c r="H38" s="12" t="inlineStr">
        <is>
          <t>n.reflection</t>
        </is>
      </c>
      <c r="I38" s="12">
        <f>IF(AND(F38&gt;0,G38&gt;0),"from+to",IF(F38&gt;0,"from_only",IF(G38&gt;0,"to_only","unused")))</f>
        <v/>
      </c>
    </row>
    <row r="39" ht="32" customHeight="1">
      <c r="A39" s="13" t="inlineStr">
        <is>
          <t>relational_group</t>
        </is>
      </c>
      <c r="B39" s="13" t="inlineStr">
        <is>
          <t>graph_agent</t>
        </is>
      </c>
      <c r="C39" s="13" t="inlineStr"/>
      <c r="D39" s="13" t="inlineStr">
        <is>
          <t>seed</t>
        </is>
      </c>
      <c r="E39" s="13" t="inlineStr"/>
      <c r="F39" s="13" t="n">
        <v>1</v>
      </c>
      <c r="G39" s="13" t="n">
        <v>6</v>
      </c>
      <c r="H39" s="13" t="inlineStr">
        <is>
          <t>n.humans</t>
        </is>
      </c>
      <c r="I39" s="13">
        <f>IF(AND(F39&gt;0,G39&gt;0),"from+to",IF(F39&gt;0,"from_only",IF(G39&gt;0,"to_only","unused")))</f>
        <v/>
      </c>
    </row>
    <row r="40" ht="32" customHeight="1">
      <c r="A40" s="12" t="inlineStr">
        <is>
          <t>route</t>
        </is>
      </c>
      <c r="B40" s="12" t="inlineStr">
        <is>
          <t>graph_concept</t>
        </is>
      </c>
      <c r="C40" s="12" t="inlineStr"/>
      <c r="D40" s="12" t="inlineStr">
        <is>
          <t>seed</t>
        </is>
      </c>
      <c r="E40" s="12" t="inlineStr"/>
      <c r="F40" s="12" t="n">
        <v>0</v>
      </c>
      <c r="G40" s="12" t="n">
        <v>1</v>
      </c>
      <c r="H40" s="12" t="inlineStr">
        <is>
          <t>n.path</t>
        </is>
      </c>
      <c r="I40" s="12">
        <f>IF(AND(F40&gt;0,G40&gt;0),"from+to",IF(F40&gt;0,"from_only",IF(G40&gt;0,"to_only","unused")))</f>
        <v/>
      </c>
    </row>
    <row r="41" ht="32" customHeight="1">
      <c r="A41" s="13" t="inlineStr">
        <is>
          <t>solar-aspect</t>
        </is>
      </c>
      <c r="B41" s="13" t="inlineStr">
        <is>
          <t>graph_concept</t>
        </is>
      </c>
      <c r="C41" s="13" t="inlineStr"/>
      <c r="D41" s="13" t="inlineStr">
        <is>
          <t>seed</t>
        </is>
      </c>
      <c r="E41" s="13" t="inlineStr"/>
      <c r="F41" s="13" t="n">
        <v>2</v>
      </c>
      <c r="G41" s="13" t="n">
        <v>2</v>
      </c>
      <c r="H41" s="13" t="inlineStr">
        <is>
          <t>n.tranquil_eye</t>
        </is>
      </c>
      <c r="I41" s="13">
        <f>IF(AND(F41&gt;0,G41&gt;0),"from+to",IF(F41&gt;0,"from_only",IF(G41&gt;0,"to_only","unused")))</f>
        <v/>
      </c>
    </row>
    <row r="42" ht="32" customHeight="1">
      <c r="A42" s="12" t="inlineStr">
        <is>
          <t>solar_quality</t>
        </is>
      </c>
      <c r="B42" s="12" t="inlineStr">
        <is>
          <t>graph_quality</t>
        </is>
      </c>
      <c r="C42" s="12" t="inlineStr"/>
      <c r="D42" s="12" t="inlineStr">
        <is>
          <t>seed</t>
        </is>
      </c>
      <c r="E42" s="12" t="inlineStr"/>
      <c r="F42" s="12" t="n">
        <v>1</v>
      </c>
      <c r="G42" s="12" t="n">
        <v>1</v>
      </c>
      <c r="H42" s="12" t="inlineStr">
        <is>
          <t>n.bliss</t>
        </is>
      </c>
      <c r="I42" s="12">
        <f>IF(AND(F42&gt;0,G42&gt;0),"from+to",IF(F42&gt;0,"from_only",IF(G42&gt;0,"to_only","unused")))</f>
        <v/>
      </c>
    </row>
    <row r="43" ht="32" customHeight="1">
      <c r="A43" s="13" t="inlineStr">
        <is>
          <t>state</t>
        </is>
      </c>
      <c r="B43" s="13" t="inlineStr">
        <is>
          <t>graph_dynamic</t>
        </is>
      </c>
      <c r="C43" s="13" t="inlineStr"/>
      <c r="D43" s="13" t="inlineStr">
        <is>
          <t>seed</t>
        </is>
      </c>
      <c r="E43" s="13" t="inlineStr"/>
      <c r="F43" s="13" t="n">
        <v>20</v>
      </c>
      <c r="G43" s="13" t="n">
        <v>20</v>
      </c>
      <c r="H43" s="13" t="inlineStr">
        <is>
          <t>st.p1.solitary_ripening_10y</t>
        </is>
      </c>
      <c r="I43" s="13">
        <f>IF(AND(F43&gt;0,G43&gt;0),"from+to",IF(F43&gt;0,"from_only",IF(G43&gt;0,"to_only","unused")))</f>
        <v/>
      </c>
    </row>
    <row r="44" ht="32" customHeight="1">
      <c r="A44" s="12" t="inlineStr">
        <is>
          <t>state-concept</t>
        </is>
      </c>
      <c r="B44" s="12" t="inlineStr">
        <is>
          <t>graph_concept</t>
        </is>
      </c>
      <c r="C44" s="12" t="inlineStr"/>
      <c r="D44" s="12" t="inlineStr">
        <is>
          <t>seed</t>
        </is>
      </c>
      <c r="E44" s="12" t="inlineStr"/>
      <c r="F44" s="12" t="n">
        <v>0</v>
      </c>
      <c r="G44" s="12" t="n">
        <v>1</v>
      </c>
      <c r="H44" s="12" t="inlineStr">
        <is>
          <t>n.solitude</t>
        </is>
      </c>
      <c r="I44" s="12">
        <f>IF(AND(F44&gt;0,G44&gt;0),"from+to",IF(F44&gt;0,"from_only",IF(G44&gt;0,"to_only","unused")))</f>
        <v/>
      </c>
    </row>
    <row r="45" ht="32" customHeight="1">
      <c r="A45" s="13" t="inlineStr">
        <is>
          <t>subgroup</t>
        </is>
      </c>
      <c r="B45" s="13" t="inlineStr">
        <is>
          <t>graph_agent</t>
        </is>
      </c>
      <c r="C45" s="13" t="inlineStr"/>
      <c r="D45" s="13" t="inlineStr">
        <is>
          <t>seed</t>
        </is>
      </c>
      <c r="E45" s="13" t="inlineStr"/>
      <c r="F45" s="13" t="n">
        <v>4</v>
      </c>
      <c r="G45" s="13" t="n">
        <v>2</v>
      </c>
      <c r="H45" s="13" t="inlineStr">
        <is>
          <t>n.wise_among_humans</t>
        </is>
      </c>
      <c r="I45" s="13">
        <f>IF(AND(F45&gt;0,G45&gt;0),"from+to",IF(F45&gt;0,"from_only",IF(G45&gt;0,"to_only","unused")))</f>
        <v/>
      </c>
    </row>
    <row r="46" ht="32" customHeight="1">
      <c r="A46" s="12" t="inlineStr">
        <is>
          <t>substance</t>
        </is>
      </c>
      <c r="B46" s="12" t="inlineStr">
        <is>
          <t>graph_entity</t>
        </is>
      </c>
      <c r="C46" s="12" t="inlineStr"/>
      <c r="D46" s="12" t="inlineStr">
        <is>
          <t>seed</t>
        </is>
      </c>
      <c r="E46" s="12" t="inlineStr"/>
      <c r="F46" s="12" t="n">
        <v>1</v>
      </c>
      <c r="G46" s="12" t="n">
        <v>2</v>
      </c>
      <c r="H46" s="12" t="inlineStr">
        <is>
          <t>n.honey</t>
        </is>
      </c>
      <c r="I46" s="12">
        <f>IF(AND(F46&gt;0,G46&gt;0),"from+to",IF(F46&gt;0,"from_only",IF(G46&gt;0,"to_only","unused")))</f>
        <v/>
      </c>
    </row>
    <row r="47" ht="32" customHeight="1">
      <c r="A47" s="13" t="inlineStr">
        <is>
          <t>threshold-place</t>
        </is>
      </c>
      <c r="B47" s="13" t="inlineStr">
        <is>
          <t>graph_place</t>
        </is>
      </c>
      <c r="C47" s="13" t="inlineStr"/>
      <c r="D47" s="13" t="inlineStr">
        <is>
          <t>seed</t>
        </is>
      </c>
      <c r="E47" s="13" t="inlineStr"/>
      <c r="F47" s="13" t="n">
        <v>0</v>
      </c>
      <c r="G47" s="13" t="n">
        <v>1</v>
      </c>
      <c r="H47" s="13" t="inlineStr">
        <is>
          <t>n.sea</t>
        </is>
      </c>
      <c r="I47" s="13">
        <f>IF(AND(F47&gt;0,G47&gt;0),"from+to",IF(F47&gt;0,"from_only",IF(G47&gt;0,"to_only","unused")))</f>
        <v/>
      </c>
    </row>
    <row r="48" ht="32" customHeight="1">
      <c r="A48" s="12" t="inlineStr">
        <is>
          <t>time</t>
        </is>
      </c>
      <c r="B48" s="12" t="inlineStr">
        <is>
          <t>graph_concept</t>
        </is>
      </c>
      <c r="C48" s="12" t="inlineStr"/>
      <c r="D48" s="12" t="inlineStr">
        <is>
          <t>seed</t>
        </is>
      </c>
      <c r="E48" s="12" t="inlineStr"/>
      <c r="F48" s="12" t="n">
        <v>0</v>
      </c>
      <c r="G48" s="12" t="n">
        <v>1</v>
      </c>
      <c r="H48" s="12" t="inlineStr">
        <is>
          <t>n.morning</t>
        </is>
      </c>
      <c r="I48" s="12">
        <f>IF(AND(F48&gt;0,G48&gt;0),"from+to",IF(F48&gt;0,"from_only",IF(G48&gt;0,"to_only","unused")))</f>
        <v/>
      </c>
    </row>
    <row r="49" ht="32" customHeight="1">
      <c r="A49" s="13" t="inlineStr">
        <is>
          <t>time-symbol</t>
        </is>
      </c>
      <c r="B49" s="13" t="inlineStr">
        <is>
          <t>graph_symbol</t>
        </is>
      </c>
      <c r="C49" s="13" t="inlineStr"/>
      <c r="D49" s="13" t="inlineStr">
        <is>
          <t>seed</t>
        </is>
      </c>
      <c r="E49" s="13" t="inlineStr"/>
      <c r="F49" s="13" t="n">
        <v>0</v>
      </c>
      <c r="G49" s="13" t="n">
        <v>2</v>
      </c>
      <c r="H49" s="13" t="inlineStr">
        <is>
          <t>n.dawn</t>
        </is>
      </c>
      <c r="I49" s="13">
        <f>IF(AND(F49&gt;0,G49&gt;0),"from+to",IF(F49&gt;0,"from_only",IF(G49&gt;0,"to_only","unused")))</f>
        <v/>
      </c>
    </row>
    <row r="50" ht="32" customHeight="1">
      <c r="A50" s="12" t="inlineStr">
        <is>
          <t>underworld-domain</t>
        </is>
      </c>
      <c r="B50" s="12" t="inlineStr">
        <is>
          <t>graph_place</t>
        </is>
      </c>
      <c r="C50" s="12" t="inlineStr"/>
      <c r="D50" s="12" t="inlineStr">
        <is>
          <t>seed</t>
        </is>
      </c>
      <c r="E50" s="12" t="inlineStr"/>
      <c r="F50" s="12" t="n">
        <v>0</v>
      </c>
      <c r="G50" s="12" t="n">
        <v>1</v>
      </c>
      <c r="H50" s="12" t="inlineStr">
        <is>
          <t>n.underworld</t>
        </is>
      </c>
      <c r="I50" s="12">
        <f>IF(AND(F50&gt;0,G50&gt;0),"from+to",IF(F50&gt;0,"from_only",IF(G50&gt;0,"to_only","unused")))</f>
        <v/>
      </c>
    </row>
    <row r="51" ht="32" customHeight="1">
      <c r="A51" s="13" t="inlineStr">
        <is>
          <t>vessel-symbol</t>
        </is>
      </c>
      <c r="B51" s="13" t="inlineStr">
        <is>
          <t>graph_symbol</t>
        </is>
      </c>
      <c r="C51" s="13" t="inlineStr"/>
      <c r="D51" s="13" t="inlineStr">
        <is>
          <t>seed</t>
        </is>
      </c>
      <c r="E51" s="13" t="inlineStr"/>
      <c r="F51" s="13" t="n">
        <v>3</v>
      </c>
      <c r="G51" s="13" t="n">
        <v>2</v>
      </c>
      <c r="H51" s="13" t="inlineStr">
        <is>
          <t>n.cup</t>
        </is>
      </c>
      <c r="I51" s="13">
        <f>IF(AND(F51&gt;0,G51&gt;0),"from+to",IF(F51&gt;0,"from_only",IF(G51&gt;0,"to_only","unused")))</f>
        <v/>
      </c>
    </row>
  </sheetData>
  <autoFilter ref="A11:I51"/>
  <mergeCells count="5">
    <mergeCell ref="B7:I7"/>
    <mergeCell ref="B6:I6"/>
    <mergeCell ref="B5:I5"/>
    <mergeCell ref="B8:I8"/>
    <mergeCell ref="B4:I4"/>
  </mergeCells>
  <dataValidations count="1">
    <dataValidation sqref="D12:D51" showDropDown="0" showInputMessage="0" showErrorMessage="0" allowBlank="1" type="list">
      <formula1>"seed,open,useful,stabilized,deprecated"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pane xSplit="1" ySplit="11" topLeftCell="B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  <col width="28" customWidth="1" min="4" max="4"/>
    <col width="22" customWidth="1" min="5" max="5"/>
    <col width="40" customWidth="1" min="6" max="6"/>
    <col width="26" customWidth="1" min="7" max="7"/>
    <col width="34" customWidth="1" min="8" max="8"/>
    <col width="24" customWidth="1" min="9" max="9"/>
  </cols>
  <sheetData>
    <row r="1" ht="20" customHeight="1">
      <c r="A1" s="9" t="inlineStr">
        <is>
          <t>V6.1 канонический контракт ToS/KAG</t>
        </is>
      </c>
    </row>
    <row r="2" ht="20" customHeight="1">
      <c r="A2" s="10" t="inlineStr">
        <is>
          <t>Единый договор полей, grains, PK/FK и правил хранения для v6.1.</t>
        </is>
      </c>
    </row>
    <row r="3" ht="20" customHeight="1"/>
    <row r="4" ht="34" customHeight="1">
      <c r="A4" s="8" t="inlineStr">
        <is>
          <t>Главный ход</t>
        </is>
      </c>
      <c r="B4" s="4" t="inlineStr">
        <is>
          <t>Запереть один schema contract: canonical field names, row grain и PK/FK; проектная схема и подробные листы должны говорить одним языком.</t>
        </is>
      </c>
    </row>
    <row r="5" ht="34" customHeight="1">
      <c r="A5" s="8" t="inlineStr">
        <is>
          <t>Authoring vs serving</t>
        </is>
      </c>
      <c r="B5" s="4" t="inlineStr">
        <is>
          <t>Авторинг живет в corpus_map / witnesses / segments / nodes / event_state_nodes / principles / edges / tensions / glosses. Master-листы только генерируются.</t>
        </is>
      </c>
    </row>
    <row r="6" ht="34" customHeight="1">
      <c r="A6" s="8" t="inlineStr">
        <is>
          <t>Anchor-policy</t>
        </is>
      </c>
      <c r="B6" s="4" t="inlineStr">
        <is>
          <t>Один anchor contract везде, где есть диапазон: anchor_mode + anchor_start_secondary + optional anchor_end_secondary + anchor_segment_ids; single-anchor оставляет end пустым.</t>
        </is>
      </c>
    </row>
    <row r="7" ht="34" customHeight="1">
      <c r="A7" s="8" t="inlineStr">
        <is>
          <t>Graph-policy</t>
        </is>
      </c>
      <c r="B7" s="4" t="inlineStr">
        <is>
          <t>Edges связывают не только node/es, но и principle_id; predicate_ru и class labels уезжают в реестры.</t>
        </is>
      </c>
    </row>
    <row r="8" ht="34" customHeight="1">
      <c r="A8" s="8" t="inlineStr">
        <is>
          <t>Registry-policy</t>
        </is>
      </c>
      <c r="B8" s="4" t="inlineStr">
        <is>
          <t>Predicates_registry и class_registry становятся governance-слоем, чтобы не плодились почти-дубли и тихий enum drift.</t>
        </is>
      </c>
    </row>
    <row r="9" ht="20" customHeight="1"/>
    <row r="10" ht="20" customHeight="1"/>
    <row r="11" ht="28" customHeight="1">
      <c r="A11" s="11" t="inlineStr">
        <is>
          <t>table_name</t>
        </is>
      </c>
      <c r="B11" s="11" t="inlineStr">
        <is>
          <t>row_grain</t>
        </is>
      </c>
      <c r="C11" s="11" t="inlineStr">
        <is>
          <t>primary_key</t>
        </is>
      </c>
      <c r="D11" s="11" t="inlineStr">
        <is>
          <t>foreign_keys</t>
        </is>
      </c>
      <c r="E11" s="11" t="inlineStr">
        <is>
          <t>required_fields</t>
        </is>
      </c>
      <c r="F11" s="11" t="inlineStr">
        <is>
          <t>optional_fields</t>
        </is>
      </c>
      <c r="G11" s="11" t="inlineStr">
        <is>
          <t>deprecated_or_derived</t>
        </is>
      </c>
      <c r="H11" s="11" t="inlineStr">
        <is>
          <t>serve_to_view</t>
        </is>
      </c>
      <c r="I11" s="11" t="inlineStr">
        <is>
          <t>migration_note</t>
        </is>
      </c>
    </row>
    <row r="12" ht="32" customHeight="1">
      <c r="A12" s="12" t="inlineStr">
        <is>
          <t>corpus_map</t>
        </is>
      </c>
      <c r="B12" s="12" t="inlineStr">
        <is>
          <t>1 строка = 1 адресуемое место корпуса</t>
        </is>
      </c>
      <c r="C12" s="12" t="inlineStr">
        <is>
          <t>corpus_row_id</t>
        </is>
      </c>
      <c r="D12" s="12" t="inlineStr">
        <is>
          <t>-</t>
        </is>
      </c>
      <c r="E12" s="12" t="inlineStr">
        <is>
          <t>corpus_row_id; work_id; part_no; chapter_no; subchapter_no; paragraph_no; source_secondary; sort_key</t>
        </is>
      </c>
      <c r="F12" s="12" t="inlineStr">
        <is>
          <t>title_ru; title_en; note</t>
        </is>
      </c>
      <c r="G12" s="12" t="inlineStr">
        <is>
          <t>order_in_book -&gt; sort_key; part/chapter/subpart -&gt; *_no</t>
        </is>
      </c>
      <c r="H12" s="12" t="inlineStr">
        <is>
          <t>master_view / coverage_view</t>
        </is>
      </c>
      <c r="I12" s="12" t="inlineStr">
        <is>
          <t>source_secondary остается внешним человеческим адресом, sort_key становится единственным порядком обхода</t>
        </is>
      </c>
    </row>
    <row r="13" ht="32" customHeight="1">
      <c r="A13" s="13" t="inlineStr">
        <is>
          <t>witnesses</t>
        </is>
      </c>
      <c r="B13" s="13" t="inlineStr">
        <is>
          <t>1 строка = 1 witness</t>
        </is>
      </c>
      <c r="C13" s="13" t="inlineStr">
        <is>
          <t>witness_id</t>
        </is>
      </c>
      <c r="D13" s="13" t="inlineStr">
        <is>
          <t>based_on -&gt; witnesses.witness_id</t>
        </is>
      </c>
      <c r="E13" s="13" t="inlineStr">
        <is>
          <t>witness_id; language; witness_role; authority_level</t>
        </is>
      </c>
      <c r="F13" s="13" t="inlineStr">
        <is>
          <t>author_or_translator; edition_or_source; publication_year; based_on; normalization_note; active</t>
        </is>
      </c>
      <c r="G13" s="13" t="inlineStr">
        <is>
          <t>role -&gt; witness_role; source_or_author распадается на author_or_translator + edition_or_source</t>
        </is>
      </c>
      <c r="H13" s="13" t="inlineStr">
        <is>
          <t>master_view</t>
        </is>
      </c>
      <c r="I13" s="13" t="inlineStr">
        <is>
          <t>enum witness_role фиксировать по одному словарю: canonical_source | working_translation | bridge_translation | agent_generated_witness</t>
        </is>
      </c>
    </row>
    <row r="14" ht="32" customHeight="1">
      <c r="A14" s="12" t="inlineStr">
        <is>
          <t>segments</t>
        </is>
      </c>
      <c r="B14" s="12" t="inlineStr">
        <is>
          <t>1 строка = 1 shared paragraph-aligned segment</t>
        </is>
      </c>
      <c r="C14" s="12" t="inlineStr">
        <is>
          <t>segment_id</t>
        </is>
      </c>
      <c r="D14" s="12" t="inlineStr">
        <is>
          <t>source_secondary -&gt; corpus_map.source_secondary</t>
        </is>
      </c>
      <c r="E14" s="12" t="inlineStr">
        <is>
          <t>segment_id; source_secondary; paragraph_anchor; sort_key; witness_scope</t>
        </is>
      </c>
      <c r="F14" s="12" t="inlineStr">
        <is>
          <t>line_span; cluster_id; working_name; note</t>
        </is>
      </c>
      <c r="G14" s="12" t="inlineStr">
        <is>
          <t>paragraph_locator -&gt; paragraph_anchor; title_ru -&gt; working_name</t>
        </is>
      </c>
      <c r="H14" s="12" t="inlineStr">
        <is>
          <t>master_view / coverage_view</t>
        </is>
      </c>
      <c r="I14" s="12" t="inlineStr">
        <is>
          <t>segment spine обязан быть повторяемым при повторной разметке</t>
        </is>
      </c>
    </row>
    <row r="15" ht="32" customHeight="1">
      <c r="A15" s="13" t="inlineStr">
        <is>
          <t>nodes</t>
        </is>
      </c>
      <c r="B15" s="13" t="inlineStr">
        <is>
          <t>1 строка = 1 reusable meaning node</t>
        </is>
      </c>
      <c r="C15" s="13" t="inlineStr">
        <is>
          <t>node_id</t>
        </is>
      </c>
      <c r="D15" s="13" t="inlineStr">
        <is>
          <t>first_segment_id -&gt; segments.segment_id; first_source_secondary -&gt; corpus_map.source_secondary</t>
        </is>
      </c>
      <c r="E15" s="13" t="inlineStr">
        <is>
          <t>node_id; label_ru; node_class; layer; first_segment_id; first_source_secondary</t>
        </is>
      </c>
      <c r="F15" s="13" t="inlineStr">
        <is>
          <t>canonical_label; label_en; status; note</t>
        </is>
      </c>
      <c r="G15" s="13" t="inlineStr">
        <is>
          <t>first_anchor не использовать как canonical field</t>
        </is>
      </c>
      <c r="H15" s="13" t="inlineStr">
        <is>
          <t>master_view</t>
        </is>
      </c>
      <c r="I15" s="13" t="inlineStr">
        <is>
          <t>node first-anchor держать парой segment+secondary, пока не появится отдельный anchors registry</t>
        </is>
      </c>
    </row>
    <row r="16" ht="32" customHeight="1">
      <c r="A16" s="12" t="inlineStr">
        <is>
          <t>event_state_nodes</t>
        </is>
      </c>
      <c r="B16" s="12" t="inlineStr">
        <is>
          <t>1 строка = 1 event/state/composite node</t>
        </is>
      </c>
      <c r="C16" s="12" t="inlineStr">
        <is>
          <t>es_id</t>
        </is>
      </c>
      <c r="D16" s="12" t="inlineStr">
        <is>
          <t>anchor_segment_ids -&gt; segments.segment_id</t>
        </is>
      </c>
      <c r="E16" s="12" t="inlineStr">
        <is>
          <t>es_id; kind; label_ru; anchor_mode; anchor_start_secondary; anchor_segment_ids</t>
        </is>
      </c>
      <c r="F16" s="12" t="inlineStr">
        <is>
          <t>anchor_end_secondary; subject_hint; es_class; repeatable; note</t>
        </is>
      </c>
      <c r="G16" s="12" t="inlineStr">
        <is>
          <t>anchors/core заменить на explicit anchor contract</t>
        </is>
      </c>
      <c r="H16" s="12" t="inlineStr">
        <is>
          <t>master_view</t>
        </is>
      </c>
      <c r="I16" s="12" t="inlineStr">
        <is>
          <t>single-anchor хранит пустой anchor_end_secondary; multi-anchor заполняет конец диапазона</t>
        </is>
      </c>
    </row>
    <row r="17" ht="32" customHeight="1">
      <c r="A17" s="13" t="inlineStr">
        <is>
          <t>principles</t>
        </is>
      </c>
      <c r="B17" s="13" t="inlineStr">
        <is>
          <t>1 строка = 1 distilled principle / claim node</t>
        </is>
      </c>
      <c r="C17" s="13" t="inlineStr">
        <is>
          <t>principle_id</t>
        </is>
      </c>
      <c r="D17" s="13" t="inlineStr">
        <is>
          <t>anchor_segment_ids -&gt; segments.segment_id</t>
        </is>
      </c>
      <c r="E17" s="13" t="inlineStr">
        <is>
          <t>principle_id; layer; formula_ru; anchor_mode; anchor_start_secondary; anchor_segment_ids</t>
        </is>
      </c>
      <c r="F17" s="13" t="inlineStr">
        <is>
          <t>anchor_end_secondary; status; note</t>
        </is>
      </c>
      <c r="G17" s="13" t="inlineStr">
        <is>
          <t>supporting_ids уходит из base-table в explicit edges</t>
        </is>
      </c>
      <c r="H17" s="13" t="inlineStr">
        <is>
          <t>master_view</t>
        </is>
      </c>
      <c r="I17" s="13" t="inlineStr">
        <is>
          <t>principle становится полноправным graph node, а не мешком supporting_ids</t>
        </is>
      </c>
    </row>
    <row r="18" ht="32" customHeight="1">
      <c r="A18" s="12" t="inlineStr">
        <is>
          <t>edges</t>
        </is>
      </c>
      <c r="B18" s="12" t="inlineStr">
        <is>
          <t>1 строка = 1 normalized relation between graph ids</t>
        </is>
      </c>
      <c r="C18" s="12" t="inlineStr">
        <is>
          <t>edge_id</t>
        </is>
      </c>
      <c r="D18" s="12" t="inlineStr">
        <is>
          <t>from_id/to_id -&gt; nodes|event_state_nodes|principles</t>
        </is>
      </c>
      <c r="E18" s="12" t="inlineStr">
        <is>
          <t>edge_id; edge_kind; from_id; predicate_id; to_id; layer; anchor_mode; anchor_start_secondary; anchor_segment_ids</t>
        </is>
      </c>
      <c r="F18" s="12" t="inlineStr">
        <is>
          <t>anchor_end_secondary; witness_scope; connectivity_role; confidence; note</t>
        </is>
      </c>
      <c r="G18" s="12" t="inlineStr">
        <is>
          <t>anchor_source_secondary -&gt; anchor_start_secondary; segment_id -&gt; anchor_segment_ids</t>
        </is>
      </c>
      <c r="H18" s="12" t="inlineStr">
        <is>
          <t>master_view / coverage_view</t>
        </is>
      </c>
      <c r="I18" s="12" t="inlineStr">
        <is>
          <t>edge_kind фиксировать: source_edge | bridge_edge | principle_edge; from/to разрешают principle_id</t>
        </is>
      </c>
    </row>
    <row r="19" ht="32" customHeight="1">
      <c r="A19" s="13" t="inlineStr">
        <is>
          <t>translation_tensions</t>
        </is>
      </c>
      <c r="B19" s="13" t="inlineStr">
        <is>
          <t>1 строка = 1 load-bearing drift cluster</t>
        </is>
      </c>
      <c r="C19" s="13" t="inlineStr">
        <is>
          <t>tension_id</t>
        </is>
      </c>
      <c r="D19" s="13" t="inlineStr">
        <is>
          <t>anchor_segment_ids -&gt; segments.segment_id; witness_ids -&gt; witnesses.witness_id</t>
        </is>
      </c>
      <c r="E19" s="13" t="inlineStr">
        <is>
          <t>tension_id; normalized_core; anchor_mode; anchor_start_secondary; anchor_segment_ids; why_load_bearing</t>
        </is>
      </c>
      <c r="F19" s="13" t="inlineStr">
        <is>
          <t>anchor_end_secondary; witness_ids; decision_status; preferred_handling; note</t>
        </is>
      </c>
      <c r="G19" s="13" t="inlineStr">
        <is>
          <t>concept_kernel / normalized_kernel -&gt; normalized_core; surfaces не хранить wide-моделью</t>
        </is>
      </c>
      <c r="H19" s="13" t="inlineStr">
        <is>
          <t>master_view (selective)</t>
        </is>
      </c>
      <c r="I19" s="13" t="inlineStr">
        <is>
          <t>surface DE/RU/EN лучше вытягивать из linked gloss rows, а не держать как обязательный wide bundle</t>
        </is>
      </c>
    </row>
    <row r="20" ht="32" customHeight="1">
      <c r="A20" s="12" t="inlineStr">
        <is>
          <t>witness_glosses</t>
        </is>
      </c>
      <c r="B20" s="12" t="inlineStr">
        <is>
          <t>1 строка = 1 witness-specific lexical surface</t>
        </is>
      </c>
      <c r="C20" s="12" t="inlineStr">
        <is>
          <t>gloss_id</t>
        </is>
      </c>
      <c r="D20" s="12" t="inlineStr">
        <is>
          <t>witness_id -&gt; witnesses.witness_id; segment_id -&gt; segments.segment_id; tension_id -&gt; translation_tensions.tension_id</t>
        </is>
      </c>
      <c r="E20" s="12" t="inlineStr">
        <is>
          <t>gloss_id; witness_id; segment_id; source_secondary; token_or_phrase; normalized_core</t>
        </is>
      </c>
      <c r="F20" s="12" t="inlineStr">
        <is>
          <t>tension_id; gloss_note; status</t>
        </is>
      </c>
      <c r="G20" s="12" t="inlineStr">
        <is>
          <t>wide-модель DE/RU/EN депрецировать</t>
        </is>
      </c>
      <c r="H20" s="12" t="inlineStr">
        <is>
          <t>translation_tensions (via links)</t>
        </is>
      </c>
      <c r="I20" s="12" t="inlineStr">
        <is>
          <t>glosses остаются long-model слоем и могут группироваться через tension_id</t>
        </is>
      </c>
    </row>
    <row r="21" ht="32" customHeight="1">
      <c r="A21" s="13" t="inlineStr">
        <is>
          <t>predicates_registry</t>
        </is>
      </c>
      <c r="B21" s="13" t="inlineStr">
        <is>
          <t>1 строка = 1 predicate definition</t>
        </is>
      </c>
      <c r="C21" s="13" t="inlineStr">
        <is>
          <t>predicate_id</t>
        </is>
      </c>
      <c r="D21" s="13" t="inlineStr">
        <is>
          <t>used by edges.predicate_id</t>
        </is>
      </c>
      <c r="E21" s="13" t="inlineStr">
        <is>
          <t>predicate_id; predicate_ru</t>
        </is>
      </c>
      <c r="F21" s="13" t="inlineStr">
        <is>
          <t>inverse_predicate_id; allowed_from_classes; allowed_to_classes; status; note</t>
        </is>
      </c>
      <c r="G21" s="13" t="inlineStr">
        <is>
          <t>predicate_ru не хранить как canonical field в edges</t>
        </is>
      </c>
      <c r="H21" s="13" t="inlineStr">
        <is>
          <t>master_view</t>
        </is>
      </c>
      <c r="I21" s="13" t="inlineStr">
        <is>
          <t>registry нужен; helper metrics можно держать trailing audit-columns, но canonical headers идут первыми</t>
        </is>
      </c>
    </row>
    <row r="22" ht="32" customHeight="1">
      <c r="A22" s="12" t="inlineStr">
        <is>
          <t>class_registry</t>
        </is>
      </c>
      <c r="B22" s="12" t="inlineStr">
        <is>
          <t>1 строка = 1 graph class definition</t>
        </is>
      </c>
      <c r="C22" s="12" t="inlineStr">
        <is>
          <t>class_id</t>
        </is>
      </c>
      <c r="D22" s="12" t="inlineStr">
        <is>
          <t>used by nodes.node_class and serving views</t>
        </is>
      </c>
      <c r="E22" s="12" t="inlineStr">
        <is>
          <t>class_id</t>
        </is>
      </c>
      <c r="F22" s="12" t="inlineStr">
        <is>
          <t>family; parent_class; status; note</t>
        </is>
      </c>
      <c r="G22" s="12" t="inlineStr">
        <is>
          <t>class labels не плодить локально в master</t>
        </is>
      </c>
      <c r="H22" s="12" t="inlineStr">
        <is>
          <t>master_view</t>
        </is>
      </c>
      <c r="I22" s="12" t="inlineStr">
        <is>
          <t>registry нужен; helper metrics можно держать trailing audit-columns, но canonical headers идут первыми</t>
        </is>
      </c>
    </row>
    <row r="23" ht="32" customHeight="1">
      <c r="A23" s="13" t="inlineStr">
        <is>
          <t>master_view</t>
        </is>
      </c>
      <c r="B23" s="13" t="inlineStr">
        <is>
          <t>1 строка = 1 denormalized relation row</t>
        </is>
      </c>
      <c r="C23" s="13" t="inlineStr">
        <is>
          <t>master_id (generated)</t>
        </is>
      </c>
      <c r="D23" s="13" t="inlineStr">
        <is>
          <t>joins to all authoring tables</t>
        </is>
      </c>
      <c r="E23" s="13" t="inlineStr">
        <is>
          <t>generated from authoring tables</t>
        </is>
      </c>
      <c r="F23" s="13" t="inlineStr">
        <is>
          <t>predicate_ru; from_label_ru; to_label_ru; from_class; to_class; p_start; p_end; n_range; paragraph_tags</t>
        </is>
      </c>
      <c r="G23" s="13" t="inlineStr">
        <is>
          <t>не authoring sheet</t>
        </is>
      </c>
      <c r="H23" s="13" t="inlineStr">
        <is>
          <t>coverage_view</t>
        </is>
      </c>
      <c r="I23" s="13" t="inlineStr">
        <is>
          <t>оставить для чтения, аудита и экспорта; баннер DO NOT AUTHOR HERE</t>
        </is>
      </c>
    </row>
    <row r="24" ht="32" customHeight="1">
      <c r="A24" s="12" t="inlineStr">
        <is>
          <t>coverage_view</t>
        </is>
      </c>
      <c r="B24" s="12" t="inlineStr">
        <is>
          <t>1 строка = 1 paragraph coverage slice</t>
        </is>
      </c>
      <c r="C24" s="12" t="inlineStr">
        <is>
          <t>paragraph_anchor (generated)</t>
        </is>
      </c>
      <c r="D24" s="12" t="inlineStr">
        <is>
          <t>join to master_view</t>
        </is>
      </c>
      <c r="E24" s="12" t="inlineStr">
        <is>
          <t>generated from master_view</t>
        </is>
      </c>
      <c r="F24" s="12" t="inlineStr">
        <is>
          <t>counts by row_kind/layer/connectivity_role</t>
        </is>
      </c>
      <c r="G24" s="12" t="inlineStr">
        <is>
          <t>fixed ranges A12:A139 etc. заменить на dynamic refs</t>
        </is>
      </c>
      <c r="H24" s="12" t="inlineStr">
        <is>
          <t>-</t>
        </is>
      </c>
      <c r="I24" s="12" t="inlineStr">
        <is>
          <t>лист аудита должен переживать рост без ручной правки диапазонов</t>
        </is>
      </c>
    </row>
  </sheetData>
  <autoFilter ref="A11:I24"/>
  <mergeCells count="5">
    <mergeCell ref="B7:I7"/>
    <mergeCell ref="B6:I6"/>
    <mergeCell ref="B5:I5"/>
    <mergeCell ref="B8:I8"/>
    <mergeCell ref="B4:I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1" workbookViewId="0">
      <pane xSplit="1" ySplit="11" topLeftCell="B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  <col width="28" customWidth="1" min="4" max="4"/>
    <col width="22" customWidth="1" min="5" max="5"/>
    <col width="40" customWidth="1" min="6" max="6"/>
    <col width="26" customWidth="1" min="7" max="7"/>
    <col width="34" customWidth="1" min="8" max="8"/>
    <col width="24" customWidth="1" min="9" max="9"/>
  </cols>
  <sheetData>
    <row r="1" ht="20" customHeight="1">
      <c r="A1" s="9" t="inlineStr">
        <is>
          <t>V6.1 patch-list по листам</t>
        </is>
      </c>
    </row>
    <row r="2" ht="20" customHeight="1">
      <c r="A2" s="10" t="inlineStr">
        <is>
          <t>Точечные правки для перехода от v6 к v6.1 без потери пилота [1]-[12].</t>
        </is>
      </c>
    </row>
    <row r="3" ht="20" customHeight="1"/>
    <row r="4" ht="34" customHeight="1">
      <c r="A4" s="8" t="inlineStr">
        <is>
          <t>Ритм миграции</t>
        </is>
      </c>
      <c r="B4" s="4" t="inlineStr">
        <is>
          <t>Сначала P0: имена полей, layer enum, edges/principles contract. Потом P1: registries и serving split. Потом P2: ops-поля и ergonomics.</t>
        </is>
      </c>
    </row>
    <row r="5" ht="34" customHeight="1">
      <c r="A5" s="8" t="inlineStr">
        <is>
          <t>Что не делать</t>
        </is>
      </c>
      <c r="B5" s="4" t="inlineStr">
        <is>
          <t>Не переносить знание руками из Master обратно в базу без явной миграционной таблицы; сначала определить canonical fields, потом только переливать данные.</t>
        </is>
      </c>
    </row>
    <row r="6" ht="34" customHeight="1">
      <c r="A6" s="8" t="inlineStr">
        <is>
          <t>Минимальный успех</t>
        </is>
      </c>
      <c r="B6" s="4" t="inlineStr">
        <is>
          <t>После P0 можно честно авторить новые абзацы уже без contract drift; после P1 master собирается как view, а не как скрытая truth-table.</t>
        </is>
      </c>
    </row>
    <row r="7" ht="34" customHeight="1">
      <c r="A7" s="8" t="inlineStr">
        <is>
          <t>Самый опасный узел</t>
        </is>
      </c>
      <c r="B7" s="4" t="inlineStr">
        <is>
          <t>Edges + principles + anchors. Именно там сейчас разрыв между схемой-описанием и реально работающим master-графом.</t>
        </is>
      </c>
    </row>
    <row r="8" ht="34" customHeight="1">
      <c r="A8" s="8" t="inlineStr">
        <is>
          <t>Граница v6.1</t>
        </is>
      </c>
      <c r="B8" s="4" t="inlineStr">
        <is>
          <t>Это audit-log и patch pack: мы не ломаем текущий пилот, а делаем его чище, переносимее и удобнее для authoring.</t>
        </is>
      </c>
    </row>
    <row r="9" ht="20" customHeight="1"/>
    <row r="10" ht="20" customHeight="1"/>
    <row r="11" ht="28" customHeight="1">
      <c r="A11" s="11" t="inlineStr">
        <is>
          <t>priority</t>
        </is>
      </c>
      <c r="B11" s="11" t="inlineStr">
        <is>
          <t>sheet_or_object</t>
        </is>
      </c>
      <c r="C11" s="11" t="inlineStr">
        <is>
          <t>patch_type</t>
        </is>
      </c>
      <c r="D11" s="11" t="inlineStr">
        <is>
          <t>old_name</t>
        </is>
      </c>
      <c r="E11" s="11" t="inlineStr">
        <is>
          <t>new_name</t>
        </is>
      </c>
      <c r="F11" s="11" t="inlineStr">
        <is>
          <t>exact_patch</t>
        </is>
      </c>
      <c r="G11" s="11" t="inlineStr">
        <is>
          <t>why</t>
        </is>
      </c>
      <c r="H11" s="11" t="inlineStr">
        <is>
          <t>migration_rule</t>
        </is>
      </c>
      <c r="I11" s="11" t="inlineStr">
        <is>
          <t>status</t>
        </is>
      </c>
    </row>
    <row r="12" ht="32" customHeight="1">
      <c r="A12" s="12" t="inlineStr">
        <is>
          <t>P0</t>
        </is>
      </c>
      <c r="B12" s="12" t="inlineStr">
        <is>
          <t>01_Ключи</t>
        </is>
      </c>
      <c r="C12" s="12" t="inlineStr">
        <is>
          <t>add</t>
        </is>
      </c>
      <c r="D12" s="12" t="inlineStr">
        <is>
          <t>-</t>
        </is>
      </c>
      <c r="E12" s="12" t="inlineStr">
        <is>
          <t>anchor contract</t>
        </is>
      </c>
      <c r="F12" s="12" t="inlineStr">
        <is>
          <t>Добавить ключи: edge_kind, anchor_mode, anchor_start_secondary, anchor_end_secondary, anchor_segment_ids, connectivity_role.</t>
        </is>
      </c>
      <c r="G12" s="12" t="inlineStr">
        <is>
          <t>Сейчас словарь ключей не держит самые важные поля master-слоя.</t>
        </is>
      </c>
      <c r="H12" s="12" t="inlineStr">
        <is>
          <t>Сначала обновить словарь, потом остальные листы.</t>
        </is>
      </c>
      <c r="I12" s="12" t="inlineStr">
        <is>
          <t>applied_v6</t>
        </is>
      </c>
    </row>
    <row r="13" ht="32" customHeight="1">
      <c r="A13" s="13" t="inlineStr">
        <is>
          <t>P0</t>
        </is>
      </c>
      <c r="B13" s="13" t="inlineStr">
        <is>
          <t>00_Обзор</t>
        </is>
      </c>
      <c r="C13" s="13" t="inlineStr">
        <is>
          <t>rewrite</t>
        </is>
      </c>
      <c r="D13" s="13" t="inlineStr">
        <is>
          <t>base package</t>
        </is>
      </c>
      <c r="E13" s="13" t="inlineStr">
        <is>
          <t>base + governance</t>
        </is>
      </c>
      <c r="F13" s="13" t="inlineStr">
        <is>
          <t>В обзор вынести, что predicates_registry и class_registry нужны уже во второй итерации, а master-листы являются serving-слоем.</t>
        </is>
      </c>
      <c r="G13" s="13" t="inlineStr">
        <is>
          <t>Сейчас обзор описывает рост таблиц, но не закрепляет governance.</t>
        </is>
      </c>
      <c r="H13" s="13" t="inlineStr">
        <is>
          <t>Обновить 2-3 строки без изменения общей логики волн.</t>
        </is>
      </c>
      <c r="I13" s="13" t="inlineStr">
        <is>
          <t>applied_v6</t>
        </is>
      </c>
    </row>
    <row r="14" ht="32" customHeight="1">
      <c r="A14" s="12" t="inlineStr">
        <is>
          <t>P0</t>
        </is>
      </c>
      <c r="B14" s="12" t="inlineStr">
        <is>
          <t>13_Проектная_схема / corpus_map</t>
        </is>
      </c>
      <c r="C14" s="12" t="inlineStr">
        <is>
          <t>rename</t>
        </is>
      </c>
      <c r="D14" s="12" t="inlineStr">
        <is>
          <t>order_in_book</t>
        </is>
      </c>
      <c r="E14" s="12" t="inlineStr">
        <is>
          <t>sort_key</t>
        </is>
      </c>
      <c r="F14" s="12" t="inlineStr">
        <is>
          <t>В проектной схеме заменить order_in_book на sort_key.</t>
        </is>
      </c>
      <c r="G14" s="12" t="inlineStr">
        <is>
          <t>order_in_book и sort_key делают одну работу и плодят дрейф.</t>
        </is>
      </c>
      <c r="H14" s="12" t="inlineStr">
        <is>
          <t>Оставить sort_key как единственный порядок обхода.</t>
        </is>
      </c>
      <c r="I14" s="12" t="inlineStr">
        <is>
          <t>applied_v6</t>
        </is>
      </c>
    </row>
    <row r="15" ht="32" customHeight="1">
      <c r="A15" s="13" t="inlineStr">
        <is>
          <t>P0</t>
        </is>
      </c>
      <c r="B15" s="13" t="inlineStr">
        <is>
          <t>13_Проектная_схема / corpus_map</t>
        </is>
      </c>
      <c r="C15" s="13" t="inlineStr">
        <is>
          <t>rename</t>
        </is>
      </c>
      <c r="D15" s="13" t="inlineStr">
        <is>
          <t>part; chapter; subpart</t>
        </is>
      </c>
      <c r="E15" s="13" t="inlineStr">
        <is>
          <t>part_no; chapter_no; subchapter_no</t>
        </is>
      </c>
      <c r="F15" s="13" t="inlineStr">
        <is>
          <t>Числовые уровни адреса держать с *_no.</t>
        </is>
      </c>
      <c r="G15" s="13" t="inlineStr">
        <is>
          <t>Без *_no непонятно, это номер, slug или label.</t>
        </is>
      </c>
      <c r="H15" s="13" t="inlineStr">
        <is>
          <t>Переименовать в проектной схеме и во всех примерах.</t>
        </is>
      </c>
      <c r="I15" s="13" t="inlineStr">
        <is>
          <t>applied_v6</t>
        </is>
      </c>
    </row>
    <row r="16" ht="32" customHeight="1">
      <c r="A16" s="12" t="inlineStr">
        <is>
          <t>P0</t>
        </is>
      </c>
      <c r="B16" s="12" t="inlineStr">
        <is>
          <t>13_Проектная_схема / corpus_map</t>
        </is>
      </c>
      <c r="C16" s="12" t="inlineStr">
        <is>
          <t>add</t>
        </is>
      </c>
      <c r="D16" s="12" t="inlineStr">
        <is>
          <t>-</t>
        </is>
      </c>
      <c r="E16" s="12" t="inlineStr">
        <is>
          <t>work_id; paragraph_no</t>
        </is>
      </c>
      <c r="F16" s="12" t="inlineStr">
        <is>
          <t>Вернуть два пропавших поля в canonical contract corpus_map.</t>
        </is>
      </c>
      <c r="G16" s="12" t="inlineStr">
        <is>
          <t>Иначе corpus_map не выражает полную адресную декомпозицию.</t>
        </is>
      </c>
      <c r="H16" s="12" t="inlineStr">
        <is>
          <t>Добавить в required_fields и в пример строки.</t>
        </is>
      </c>
      <c r="I16" s="12" t="inlineStr">
        <is>
          <t>applied_v6</t>
        </is>
      </c>
    </row>
    <row r="17" ht="32" customHeight="1">
      <c r="A17" s="13" t="inlineStr">
        <is>
          <t>P0</t>
        </is>
      </c>
      <c r="B17" s="13" t="inlineStr">
        <is>
          <t>03_witnesses + 13_Проектная_схема</t>
        </is>
      </c>
      <c r="C17" s="13" t="inlineStr">
        <is>
          <t>rename</t>
        </is>
      </c>
      <c r="D17" s="13" t="inlineStr">
        <is>
          <t>role</t>
        </is>
      </c>
      <c r="E17" s="13" t="inlineStr">
        <is>
          <t>witness_role</t>
        </is>
      </c>
      <c r="F17" s="13" t="inlineStr">
        <is>
          <t>Сделать имя поля специфичным к сущности witness.</t>
        </is>
      </c>
      <c r="G17" s="13" t="inlineStr">
        <is>
          <t>Голое role потом конфликтует с role_in_reasoning и другими ролями.</t>
        </is>
      </c>
      <c r="H17" s="13" t="inlineStr">
        <is>
          <t>В 03 и 13 использовать только witness_role.</t>
        </is>
      </c>
      <c r="I17" s="13" t="inlineStr">
        <is>
          <t>applied_v6</t>
        </is>
      </c>
    </row>
    <row r="18" ht="32" customHeight="1">
      <c r="A18" s="12" t="inlineStr">
        <is>
          <t>P0</t>
        </is>
      </c>
      <c r="B18" s="12" t="inlineStr">
        <is>
          <t>03_witnesses + 13_Проектная_схема</t>
        </is>
      </c>
      <c r="C18" s="12" t="inlineStr">
        <is>
          <t>split</t>
        </is>
      </c>
      <c r="D18" s="12" t="inlineStr">
        <is>
          <t>source_or_author</t>
        </is>
      </c>
      <c r="E18" s="12" t="inlineStr">
        <is>
          <t>author_or_translator + edition_or_source</t>
        </is>
      </c>
      <c r="F18" s="12" t="inlineStr">
        <is>
          <t>Не сжимать ответственного человека и источник публикации в одно поле.</t>
        </is>
      </c>
      <c r="G18" s="12" t="inlineStr">
        <is>
          <t>Это два разных provenance-слоя.</t>
        </is>
      </c>
      <c r="H18" s="12" t="inlineStr">
        <is>
          <t>В проектной схеме развернуть в два поля; старое поле считать deprecated.</t>
        </is>
      </c>
      <c r="I18" s="12" t="inlineStr">
        <is>
          <t>applied_v6</t>
        </is>
      </c>
    </row>
    <row r="19" ht="32" customHeight="1">
      <c r="A19" s="13" t="inlineStr">
        <is>
          <t>P0</t>
        </is>
      </c>
      <c r="B19" s="13" t="inlineStr">
        <is>
          <t>03_witnesses + 13_Проектная_схема</t>
        </is>
      </c>
      <c r="C19" s="13" t="inlineStr">
        <is>
          <t>rename</t>
        </is>
      </c>
      <c r="D19" s="13" t="inlineStr">
        <is>
          <t>year</t>
        </is>
      </c>
      <c r="E19" s="13" t="inlineStr">
        <is>
          <t>publication_year</t>
        </is>
      </c>
      <c r="F19" s="13" t="inlineStr">
        <is>
          <t>Сделать имя поля темпорально однозначным.</t>
        </is>
      </c>
      <c r="G19" s="13" t="inlineStr">
        <is>
          <t>year слишком голое и легко путается с working year / review year.</t>
        </is>
      </c>
      <c r="H19" s="13" t="inlineStr">
        <is>
          <t>Во всех описаниях и примерах использовать publication_year.</t>
        </is>
      </c>
      <c r="I19" s="13" t="inlineStr">
        <is>
          <t>applied_v6</t>
        </is>
      </c>
    </row>
    <row r="20" ht="32" customHeight="1">
      <c r="A20" s="12" t="inlineStr">
        <is>
          <t>P0</t>
        </is>
      </c>
      <c r="B20" s="12" t="inlineStr">
        <is>
          <t>03_witnesses + examples</t>
        </is>
      </c>
      <c r="C20" s="12" t="inlineStr">
        <is>
          <t>normalize enum</t>
        </is>
      </c>
      <c r="D20" s="12" t="inlineStr">
        <is>
          <t>human_translation_witness</t>
        </is>
      </c>
      <c r="E20" s="12" t="inlineStr">
        <is>
          <t>working_translation</t>
        </is>
      </c>
      <c r="F20" s="12" t="inlineStr">
        <is>
          <t>Примеры в 13-м листе и реестр enum-значений привести к одному словарю.</t>
        </is>
      </c>
      <c r="G20" s="12" t="inlineStr">
        <is>
          <t>Сейчас пример enum не совпадает с подробной схемой.</t>
        </is>
      </c>
      <c r="H20" s="12" t="inlineStr">
        <is>
          <t>Зафиксировать один словарь: canonical_source | working_translation | bridge_translation | agent_generated_witness.</t>
        </is>
      </c>
      <c r="I20" s="12" t="inlineStr">
        <is>
          <t>applied_v6</t>
        </is>
      </c>
    </row>
    <row r="21" ht="32" customHeight="1">
      <c r="A21" s="13" t="inlineStr">
        <is>
          <t>P0</t>
        </is>
      </c>
      <c r="B21" s="13" t="inlineStr">
        <is>
          <t>04_segments + 13_Проектная_схема</t>
        </is>
      </c>
      <c r="C21" s="13" t="inlineStr">
        <is>
          <t>rename</t>
        </is>
      </c>
      <c r="D21" s="13" t="inlineStr">
        <is>
          <t>paragraph_locator</t>
        </is>
      </c>
      <c r="E21" s="13" t="inlineStr">
        <is>
          <t>paragraph_anchor</t>
        </is>
      </c>
      <c r="F21" s="13" t="inlineStr">
        <is>
          <t>Для [n] использовать один anchor-термин.</t>
        </is>
      </c>
      <c r="G21" s="13" t="inlineStr">
        <is>
          <t>locator и anchor здесь делают одну работу.</t>
        </is>
      </c>
      <c r="H21" s="13" t="inlineStr">
        <is>
          <t>Переименовать в 04 и 13; в примерах оставить [n].</t>
        </is>
      </c>
      <c r="I21" s="13" t="inlineStr">
        <is>
          <t>applied_v6</t>
        </is>
      </c>
    </row>
    <row r="22" ht="32" customHeight="1">
      <c r="A22" s="12" t="inlineStr">
        <is>
          <t>P0</t>
        </is>
      </c>
      <c r="B22" s="12" t="inlineStr">
        <is>
          <t>04_segments + 13_Проектная_схема</t>
        </is>
      </c>
      <c r="C22" s="12" t="inlineStr">
        <is>
          <t>add</t>
        </is>
      </c>
      <c r="D22" s="12" t="inlineStr">
        <is>
          <t>-</t>
        </is>
      </c>
      <c r="E22" s="12" t="inlineStr">
        <is>
          <t>sort_key</t>
        </is>
      </c>
      <c r="F22" s="12" t="inlineStr">
        <is>
          <t>Вернуть обязательный порядок обхода в segments.</t>
        </is>
      </c>
      <c r="G22" s="12" t="inlineStr">
        <is>
          <t>Без sort_key поздние joins начинают опираться на source_secondary как на псевдо-порядок.</t>
        </is>
      </c>
      <c r="H22" s="12" t="inlineStr">
        <is>
          <t>Добавить в required_fields и пример строки.</t>
        </is>
      </c>
      <c r="I22" s="12" t="inlineStr">
        <is>
          <t>applied_v6</t>
        </is>
      </c>
    </row>
    <row r="23" ht="32" customHeight="1">
      <c r="A23" s="13" t="inlineStr">
        <is>
          <t>P0</t>
        </is>
      </c>
      <c r="B23" s="13" t="inlineStr">
        <is>
          <t>04_segments</t>
        </is>
      </c>
      <c r="C23" s="13" t="inlineStr">
        <is>
          <t>rename</t>
        </is>
      </c>
      <c r="D23" s="13" t="inlineStr">
        <is>
          <t>title_ru</t>
        </is>
      </c>
      <c r="E23" s="13" t="inlineStr">
        <is>
          <t>working_name</t>
        </is>
      </c>
      <c r="F23" s="13" t="inlineStr">
        <is>
          <t>Поле фактически служит рабочим navigation-name и уже не обязано быть ru.</t>
        </is>
      </c>
      <c r="G23" s="13" t="inlineStr">
        <is>
          <t>Текущее имя поля ложно обещает язык.</t>
        </is>
      </c>
      <c r="H23" s="13" t="inlineStr">
        <is>
          <t>Переименовать и обновить описание.</t>
        </is>
      </c>
      <c r="I23" s="13" t="inlineStr">
        <is>
          <t>applied_v6</t>
        </is>
      </c>
    </row>
    <row r="24" ht="32" customHeight="1">
      <c r="A24" s="12" t="inlineStr">
        <is>
          <t>P0</t>
        </is>
      </c>
      <c r="B24" s="12" t="inlineStr">
        <is>
          <t>05_nodes + 13_Проектная_схема</t>
        </is>
      </c>
      <c r="C24" s="12" t="inlineStr">
        <is>
          <t>deprecate</t>
        </is>
      </c>
      <c r="D24" s="12" t="inlineStr">
        <is>
          <t>first_anchor</t>
        </is>
      </c>
      <c r="E24" s="12" t="inlineStr">
        <is>
          <t>first_segment_id + first_source_secondary</t>
        </is>
      </c>
      <c r="F24" s="12" t="inlineStr">
        <is>
          <t>В nodes держать пару первого появления, а не абстрактное first_anchor.</t>
        </is>
      </c>
      <c r="G24" s="12" t="inlineStr">
        <is>
          <t>Пара уже есть в подробной схеме и лучше мигрирует без отдельной anchor-таблицы.</t>
        </is>
      </c>
      <c r="H24" s="12" t="inlineStr">
        <is>
          <t>В 13-м листе заменить first_anchor на два поля.</t>
        </is>
      </c>
      <c r="I24" s="12" t="inlineStr">
        <is>
          <t>applied_v6</t>
        </is>
      </c>
    </row>
    <row r="25" ht="32" customHeight="1">
      <c r="A25" s="13" t="inlineStr">
        <is>
          <t>P0</t>
        </is>
      </c>
      <c r="B25" s="13" t="inlineStr">
        <is>
          <t>05_nodes / 07_edges / 10_principles</t>
        </is>
      </c>
      <c r="C25" s="13" t="inlineStr">
        <is>
          <t>normalize enum</t>
        </is>
      </c>
      <c r="D25" s="13" t="inlineStr">
        <is>
          <t>derived / distilled / commentary_support / symbolic_reading</t>
        </is>
      </c>
      <c r="E25" s="13" t="inlineStr">
        <is>
          <t>source_linked / distilled_principle / authored_commentary</t>
        </is>
      </c>
      <c r="F25" s="13" t="inlineStr">
        <is>
          <t>Зафиксировать один layer enum для graph-слоя.</t>
        </is>
      </c>
      <c r="G25" s="13" t="inlineStr">
        <is>
          <t>Сейчас layer drift идет минимум по четырем именам.</t>
        </is>
      </c>
      <c r="H25" s="13" t="inlineStr">
        <is>
          <t>Нюансы типа symbolic_support перенести в connectivity_role или note.</t>
        </is>
      </c>
      <c r="I25" s="13" t="inlineStr">
        <is>
          <t>applied_v6</t>
        </is>
      </c>
    </row>
    <row r="26" ht="32" customHeight="1">
      <c r="A26" s="12" t="inlineStr">
        <is>
          <t>P0</t>
        </is>
      </c>
      <c r="B26" s="12" t="inlineStr">
        <is>
          <t>06_event_state_nodes + 13_Проектная_схема</t>
        </is>
      </c>
      <c r="C26" s="12" t="inlineStr">
        <is>
          <t>replace</t>
        </is>
      </c>
      <c r="D26" s="12" t="inlineStr">
        <is>
          <t>anchors; core</t>
        </is>
      </c>
      <c r="E26" s="12" t="inlineStr">
        <is>
          <t>anchor_mode; anchor_start_secondary; anchor_end_secondary; anchor_segment_ids</t>
        </is>
      </c>
      <c r="F26" s="12" t="inlineStr">
        <is>
          <t>Сделать anchor contract явным и машиночитаемым.</t>
        </is>
      </c>
      <c r="G26" s="12" t="inlineStr">
        <is>
          <t>anchors/core слишком абстрактны и не соответствуют реальной multi-anchor практике.</t>
        </is>
      </c>
      <c r="H26" s="12" t="inlineStr">
        <is>
          <t>Старые поля считать deprecated aliases только на время миграции.</t>
        </is>
      </c>
      <c r="I26" s="12" t="inlineStr">
        <is>
          <t>applied_v6</t>
        </is>
      </c>
    </row>
    <row r="27" ht="32" customHeight="1">
      <c r="A27" s="13" t="inlineStr">
        <is>
          <t>P0</t>
        </is>
      </c>
      <c r="B27" s="13" t="inlineStr">
        <is>
          <t>07_edges</t>
        </is>
      </c>
      <c r="C27" s="13" t="inlineStr">
        <is>
          <t>add</t>
        </is>
      </c>
      <c r="D27" s="13" t="inlineStr">
        <is>
          <t>-</t>
        </is>
      </c>
      <c r="E27" s="13" t="inlineStr">
        <is>
          <t>edge_kind</t>
        </is>
      </c>
      <c r="F27" s="13" t="inlineStr">
        <is>
          <t>Добавить row-kind прямо в базовую edges-таблицу.</t>
        </is>
      </c>
      <c r="G27" s="13" t="inlineStr">
        <is>
          <t>Master уже держит source_edge / bridge_edge / principle_edge, а база пока немая.</t>
        </is>
      </c>
      <c r="H27" s="13" t="inlineStr">
        <is>
          <t>Заполнять обязательно для каждой relation.</t>
        </is>
      </c>
      <c r="I27" s="13" t="inlineStr">
        <is>
          <t>applied_v6</t>
        </is>
      </c>
    </row>
    <row r="28" ht="32" customHeight="1">
      <c r="A28" s="12" t="inlineStr">
        <is>
          <t>P0</t>
        </is>
      </c>
      <c r="B28" s="12" t="inlineStr">
        <is>
          <t>07_edges</t>
        </is>
      </c>
      <c r="C28" s="12" t="inlineStr">
        <is>
          <t>rename</t>
        </is>
      </c>
      <c r="D28" s="12" t="inlineStr">
        <is>
          <t>anchor_source_secondary; segment_id</t>
        </is>
      </c>
      <c r="E28" s="12" t="inlineStr">
        <is>
          <t>anchor_start_secondary; anchor_segment_ids</t>
        </is>
      </c>
      <c r="F28" s="12" t="inlineStr">
        <is>
          <t>Перевести edges на multi-anchor contract.</t>
        </is>
      </c>
      <c r="G28" s="12" t="inlineStr">
        <is>
          <t>Один segment_id не покрывает bridge rows и paragraph ranges.</t>
        </is>
      </c>
      <c r="H28" s="12" t="inlineStr">
        <is>
          <t>Старый segment_id мигрирует в anchor_segment_ids как single value.</t>
        </is>
      </c>
      <c r="I28" s="12" t="inlineStr">
        <is>
          <t>applied_v6</t>
        </is>
      </c>
    </row>
    <row r="29" ht="32" customHeight="1">
      <c r="A29" s="13" t="inlineStr">
        <is>
          <t>P0</t>
        </is>
      </c>
      <c r="B29" s="13" t="inlineStr">
        <is>
          <t>07_edges</t>
        </is>
      </c>
      <c r="C29" s="13" t="inlineStr">
        <is>
          <t>add</t>
        </is>
      </c>
      <c r="D29" s="13" t="inlineStr">
        <is>
          <t>-</t>
        </is>
      </c>
      <c r="E29" s="13" t="inlineStr">
        <is>
          <t>anchor_mode; anchor_end_secondary; connectivity_role</t>
        </is>
      </c>
      <c r="F29" s="13" t="inlineStr">
        <is>
          <t>Дотянуть edges до формы master-слоя.</t>
        </is>
      </c>
      <c r="G29" s="13" t="inlineStr">
        <is>
          <t>Иначе source/bridge/principle логика снова уедет в denormalized master.</t>
        </is>
      </c>
      <c r="H29" s="13" t="inlineStr">
        <is>
          <t>Для single-anchor использовать anchor_mode=single.</t>
        </is>
      </c>
      <c r="I29" s="13" t="inlineStr">
        <is>
          <t>applied_v6</t>
        </is>
      </c>
    </row>
    <row r="30" ht="32" customHeight="1">
      <c r="A30" s="12" t="inlineStr">
        <is>
          <t>P0</t>
        </is>
      </c>
      <c r="B30" s="12" t="inlineStr">
        <is>
          <t>07_edges</t>
        </is>
      </c>
      <c r="C30" s="12" t="inlineStr">
        <is>
          <t>expand FK</t>
        </is>
      </c>
      <c r="D30" s="12" t="inlineStr">
        <is>
          <t>node_id/es_id only</t>
        </is>
      </c>
      <c r="E30" s="12" t="inlineStr">
        <is>
          <t>node_id | es_id | principle_id</t>
        </is>
      </c>
      <c r="F30" s="12" t="inlineStr">
        <is>
          <t>Разрешить principle_id в from_id/to_id.</t>
        </is>
      </c>
      <c r="G30" s="12" t="inlineStr">
        <is>
          <t>В master уже есть principle-to-state и principle-to-principle relations.</t>
        </is>
      </c>
      <c r="H30" s="12" t="inlineStr">
        <is>
          <t>Обновить описание поля и FK rule.</t>
        </is>
      </c>
      <c r="I30" s="12" t="inlineStr">
        <is>
          <t>applied_v6</t>
        </is>
      </c>
    </row>
    <row r="31" ht="32" customHeight="1">
      <c r="A31" s="13" t="inlineStr">
        <is>
          <t>P0</t>
        </is>
      </c>
      <c r="B31" s="13" t="inlineStr">
        <is>
          <t>10_principles</t>
        </is>
      </c>
      <c r="C31" s="13" t="inlineStr">
        <is>
          <t>rename</t>
        </is>
      </c>
      <c r="D31" s="13" t="inlineStr">
        <is>
          <t>formula</t>
        </is>
      </c>
      <c r="E31" s="13" t="inlineStr">
        <is>
          <t>formula_ru</t>
        </is>
      </c>
      <c r="F31" s="13" t="inlineStr">
        <is>
          <t>Язык формулы должен быть явным.</t>
        </is>
      </c>
      <c r="G31" s="13" t="inlineStr">
        <is>
          <t>В других листах уже используется label_ru / formula_ru-паттерн.</t>
        </is>
      </c>
      <c r="H31" s="13" t="inlineStr">
        <is>
          <t>Переименовать в 10 и 13.</t>
        </is>
      </c>
      <c r="I31" s="13" t="inlineStr">
        <is>
          <t>applied_v6</t>
        </is>
      </c>
    </row>
    <row r="32" ht="32" customHeight="1">
      <c r="A32" s="12" t="inlineStr">
        <is>
          <t>P0</t>
        </is>
      </c>
      <c r="B32" s="12" t="inlineStr">
        <is>
          <t>10_principles</t>
        </is>
      </c>
      <c r="C32" s="12" t="inlineStr">
        <is>
          <t>replace</t>
        </is>
      </c>
      <c r="D32" s="12" t="inlineStr">
        <is>
          <t>anchor_segments; source_secondary_range</t>
        </is>
      </c>
      <c r="E32" s="12" t="inlineStr">
        <is>
          <t>anchor_mode; anchor_start_secondary; anchor_end_secondary; anchor_segment_ids</t>
        </is>
      </c>
      <c r="F32" s="12" t="inlineStr">
        <is>
          <t>Сделать principles совместимыми с общим anchor contract.</t>
        </is>
      </c>
      <c r="G32" s="12" t="inlineStr">
        <is>
          <t>Две разные anchor-модели для principles ломают downstream joins.</t>
        </is>
      </c>
      <c r="H32" s="12" t="inlineStr">
        <is>
          <t>source_secondary_range считать derived human-readable view.</t>
        </is>
      </c>
      <c r="I32" s="12" t="inlineStr">
        <is>
          <t>applied_v6</t>
        </is>
      </c>
    </row>
    <row r="33" ht="32" customHeight="1">
      <c r="A33" s="13" t="inlineStr">
        <is>
          <t>P0</t>
        </is>
      </c>
      <c r="B33" s="13" t="inlineStr">
        <is>
          <t>10_principles</t>
        </is>
      </c>
      <c r="C33" s="13" t="inlineStr">
        <is>
          <t>move</t>
        </is>
      </c>
      <c r="D33" s="13" t="inlineStr">
        <is>
          <t>supporting_ids</t>
        </is>
      </c>
      <c r="E33" s="13" t="inlineStr">
        <is>
          <t>edges(principle_edge)</t>
        </is>
      </c>
      <c r="F33" s="13" t="inlineStr">
        <is>
          <t>Поддержку принципов нормализовать в edges, а не держать pipe-list внутри principle row.</t>
        </is>
      </c>
      <c r="G33" s="13" t="inlineStr">
        <is>
          <t>supporting_ids уже дублируется master-строками и не queryable как граф.</t>
        </is>
      </c>
      <c r="H33" s="13" t="inlineStr">
        <is>
          <t>Сначала создать edge rows, потом удалить supporting_ids из authoring contract.</t>
        </is>
      </c>
      <c r="I33" s="13" t="inlineStr">
        <is>
          <t>applied_v6</t>
        </is>
      </c>
    </row>
    <row r="34" ht="32" customHeight="1">
      <c r="A34" s="12" t="inlineStr">
        <is>
          <t>P1</t>
        </is>
      </c>
      <c r="B34" s="12" t="inlineStr">
        <is>
          <t>NEW sheet</t>
        </is>
      </c>
      <c r="C34" s="12" t="inlineStr">
        <is>
          <t>create</t>
        </is>
      </c>
      <c r="D34" s="12" t="inlineStr">
        <is>
          <t>-</t>
        </is>
      </c>
      <c r="E34" s="12" t="inlineStr">
        <is>
          <t>predicates_registry</t>
        </is>
      </c>
      <c r="F34" s="12" t="inlineStr">
        <is>
          <t>Создать отдельный реестр предикатов с inverse и allowed classes.</t>
        </is>
      </c>
      <c r="G34" s="12" t="inlineStr">
        <is>
          <t>В master уже 53 predicate_id и 29 singletons; без реестра словарь начнет расползаться.</t>
        </is>
      </c>
      <c r="H34" s="12" t="inlineStr">
        <is>
          <t>Сидировать из текущего master и править вручную по мере стабилизации.</t>
        </is>
      </c>
      <c r="I34" s="12" t="inlineStr">
        <is>
          <t>applied_v6</t>
        </is>
      </c>
    </row>
    <row r="35" ht="32" customHeight="1">
      <c r="A35" s="13" t="inlineStr">
        <is>
          <t>P1</t>
        </is>
      </c>
      <c r="B35" s="13" t="inlineStr">
        <is>
          <t>NEW sheet</t>
        </is>
      </c>
      <c r="C35" s="13" t="inlineStr">
        <is>
          <t>create</t>
        </is>
      </c>
      <c r="D35" s="13" t="inlineStr">
        <is>
          <t>-</t>
        </is>
      </c>
      <c r="E35" s="13" t="inlineStr">
        <is>
          <t>class_registry</t>
        </is>
      </c>
      <c r="F35" s="13" t="inlineStr">
        <is>
          <t>Создать отдельный реестр классов graph-узлов.</t>
        </is>
      </c>
      <c r="G35" s="13" t="inlineStr">
        <is>
          <t>В master уже 40 class labels; часть различий тонкая и требует governance.</t>
        </is>
      </c>
      <c r="H35" s="13" t="inlineStr">
        <is>
          <t>Сидировать из from_class/to_class текущего master.</t>
        </is>
      </c>
      <c r="I35" s="13" t="inlineStr">
        <is>
          <t>applied_v6</t>
        </is>
      </c>
    </row>
    <row r="36" ht="32" customHeight="1">
      <c r="A36" s="12" t="inlineStr">
        <is>
          <t>P1</t>
        </is>
      </c>
      <c r="B36" s="12" t="inlineStr">
        <is>
          <t>08_translation_tensions</t>
        </is>
      </c>
      <c r="C36" s="12" t="inlineStr">
        <is>
          <t>normalize</t>
        </is>
      </c>
      <c r="D36" s="12" t="inlineStr">
        <is>
          <t>surface_de/surface_ru/surface_en OR concept_kernel</t>
        </is>
      </c>
      <c r="E36" s="12" t="inlineStr">
        <is>
          <t>normalized_core + linked gloss rows</t>
        </is>
      </c>
      <c r="F36" s="12" t="inlineStr">
        <is>
          <t>Сделать tension-level row поверх long-model glosses.</t>
        </is>
      </c>
      <c r="G36" s="12" t="inlineStr">
        <is>
          <t>Wide tri-lingual bundle красив, но хуже растет и дублирует gloss слой.</t>
        </is>
      </c>
      <c r="H36" s="12" t="inlineStr">
        <is>
          <t>Оставить в tensions только load-bearing drift cluster и ссылочные witness_ids/tension links.</t>
        </is>
      </c>
      <c r="I36" s="12" t="inlineStr">
        <is>
          <t>applied_v6</t>
        </is>
      </c>
    </row>
    <row r="37" ht="32" customHeight="1">
      <c r="A37" s="13" t="inlineStr">
        <is>
          <t>P1</t>
        </is>
      </c>
      <c r="B37" s="13" t="inlineStr">
        <is>
          <t>09_witness_glosses + 13_Проектная_схема</t>
        </is>
      </c>
      <c r="C37" s="13" t="inlineStr">
        <is>
          <t>keep long model</t>
        </is>
      </c>
      <c r="D37" s="13" t="inlineStr">
        <is>
          <t>DE; RU; EN bundle</t>
        </is>
      </c>
      <c r="E37" s="13" t="inlineStr">
        <is>
          <t>witness_id + token_or_phrase + tension_id?</t>
        </is>
      </c>
      <c r="F37" s="13" t="inlineStr">
        <is>
          <t>Закрепить glosses как witness-specific long model.</t>
        </is>
      </c>
      <c r="G37" s="13" t="inlineStr">
        <is>
          <t>Иначе glosses и tensions начнут спорить за один и тот же row grain.</t>
        </is>
      </c>
      <c r="H37" s="13" t="inlineStr">
        <is>
          <t>В 13-м листе убрать wide-модель glosses и добавить tension_id как optional field.</t>
        </is>
      </c>
      <c r="I37" s="13" t="inlineStr">
        <is>
          <t>applied_v6</t>
        </is>
      </c>
    </row>
    <row r="38" ht="32" customHeight="1">
      <c r="A38" s="12" t="inlineStr">
        <is>
          <t>P1</t>
        </is>
      </c>
      <c r="B38" s="12" t="inlineStr">
        <is>
          <t>14_Порядок_прохода</t>
        </is>
      </c>
      <c r="C38" s="12" t="inlineStr">
        <is>
          <t>rewrite workflow</t>
        </is>
      </c>
      <c r="D38" s="12" t="inlineStr">
        <is>
          <t>nodes -&gt; event_state_nodes -&gt; edges -&gt; principles</t>
        </is>
      </c>
      <c r="E38" s="12" t="inlineStr">
        <is>
          <t>nodes -&gt; event_state_nodes -&gt; source/bridge edges -&gt; principles -&gt; principle edges -&gt; generated master</t>
        </is>
      </c>
      <c r="F38" s="12" t="inlineStr">
        <is>
          <t>Порядок должен отражать новую нормализацию principles и edges.</t>
        </is>
      </c>
      <c r="G38" s="12" t="inlineStr">
        <is>
          <t>Иначе человек снова будет писать смысл прямо в master.</t>
        </is>
      </c>
      <c r="H38" s="12" t="inlineStr">
        <is>
          <t>Обновить 3 шага и stop-conditions.</t>
        </is>
      </c>
      <c r="I38" s="12" t="inlineStr">
        <is>
          <t>applied_v6</t>
        </is>
      </c>
    </row>
    <row r="39" ht="32" customHeight="1">
      <c r="A39" s="13" t="inlineStr">
        <is>
          <t>P1</t>
        </is>
      </c>
      <c r="B39" s="13" t="inlineStr">
        <is>
          <t>15_Master_связность_1_12</t>
        </is>
      </c>
      <c r="C39" s="13" t="inlineStr">
        <is>
          <t>relabel</t>
        </is>
      </c>
      <c r="D39" s="13" t="inlineStr">
        <is>
          <t>working truth sheet</t>
        </is>
      </c>
      <c r="E39" s="13" t="inlineStr">
        <is>
          <t>generated serving view</t>
        </is>
      </c>
      <c r="F39" s="13" t="inlineStr">
        <is>
          <t>На листе явно написать, что он генерируется из base tables и не является местом первичного ввода.</t>
        </is>
      </c>
      <c r="G39" s="13" t="inlineStr">
        <is>
          <t>Сейчас живое знание уже сидит тут.</t>
        </is>
      </c>
      <c r="H39" s="13" t="inlineStr">
        <is>
          <t>Добавить баннер и генерационный note.</t>
        </is>
      </c>
      <c r="I39" s="13" t="inlineStr">
        <is>
          <t>applied_v6</t>
        </is>
      </c>
    </row>
    <row r="40" ht="32" customHeight="1">
      <c r="A40" s="12" t="inlineStr">
        <is>
          <t>P1</t>
        </is>
      </c>
      <c r="B40" s="12" t="inlineStr">
        <is>
          <t>16_Master_покрытие_1_12</t>
        </is>
      </c>
      <c r="C40" s="12" t="inlineStr">
        <is>
          <t>rewrite formulas</t>
        </is>
      </c>
      <c r="D40" s="12" t="inlineStr">
        <is>
          <t>A12:A139 hard ranges</t>
        </is>
      </c>
      <c r="E40" s="12" t="inlineStr">
        <is>
          <t>dynamic refs / table refs</t>
        </is>
      </c>
      <c r="F40" s="12" t="inlineStr">
        <is>
          <t>Убрать фиксированные диапазоны из аудита.</t>
        </is>
      </c>
      <c r="G40" s="12" t="inlineStr">
        <is>
          <t>Текущие формулы переживут еще немного роста, но затем начнут тихо врать.</t>
        </is>
      </c>
      <c r="H40" s="12" t="inlineStr">
        <is>
          <t>Перевести на Table refs или формулы по COUNTA/INDEX.</t>
        </is>
      </c>
      <c r="I40" s="12" t="inlineStr">
        <is>
          <t>applied_v6</t>
        </is>
      </c>
    </row>
    <row r="41" ht="32" customHeight="1">
      <c r="A41" s="13" t="inlineStr">
        <is>
          <t>P2</t>
        </is>
      </c>
      <c r="B41" s="13" t="inlineStr">
        <is>
          <t>ALL authoring tables</t>
        </is>
      </c>
      <c r="C41" s="13" t="inlineStr">
        <is>
          <t>add ops fields</t>
        </is>
      </c>
      <c r="D41" s="13" t="inlineStr">
        <is>
          <t>-</t>
        </is>
      </c>
      <c r="E41" s="13" t="inlineStr">
        <is>
          <t>reviewer; review_state; updated_at; pass_id</t>
        </is>
      </c>
      <c r="F41" s="13" t="inlineStr">
        <is>
          <t>Добавить служебный слой ревью и проходов.</t>
        </is>
      </c>
      <c r="G41" s="13" t="inlineStr">
        <is>
          <t>Это особенно важно, если AoA будет вести agent-assisted authoring.</t>
        </is>
      </c>
      <c r="H41" s="13" t="inlineStr">
        <is>
          <t>Поля optional, но одинаковые во всех authoring sheets.</t>
        </is>
      </c>
      <c r="I41" s="13" t="inlineStr">
        <is>
          <t>carry_forward_v6.1</t>
        </is>
      </c>
    </row>
    <row r="42" ht="32" customHeight="1">
      <c r="A42" s="12" t="inlineStr">
        <is>
          <t>P2</t>
        </is>
      </c>
      <c r="B42" s="12" t="inlineStr">
        <is>
          <t>15_Master + 16_Master_покрытие</t>
        </is>
      </c>
      <c r="C42" s="12" t="inlineStr">
        <is>
          <t>ergonomics</t>
        </is>
      </c>
      <c r="D42" s="12" t="inlineStr">
        <is>
          <t>no freeze panes</t>
        </is>
      </c>
      <c r="E42" s="12" t="inlineStr">
        <is>
          <t>freeze panes + filters</t>
        </is>
      </c>
      <c r="F42" s="12" t="inlineStr">
        <is>
          <t>Добавить freeze panes и фильтры на serving sheets.</t>
        </is>
      </c>
      <c r="G42" s="12" t="inlineStr">
        <is>
          <t>Это не меняет модель, но резко улучшает ручную навигацию.</t>
        </is>
      </c>
      <c r="H42" s="12" t="inlineStr">
        <is>
          <t>Сделать после semantic patch, чтобы не отвлекаться от договора полей.</t>
        </is>
      </c>
      <c r="I42" s="12" t="inlineStr">
        <is>
          <t>done_v6.1</t>
        </is>
      </c>
    </row>
    <row r="43" ht="34" customHeight="1">
      <c r="A43" s="12" t="inlineStr">
        <is>
          <t>P1</t>
        </is>
      </c>
      <c r="B43" s="12" t="inlineStr">
        <is>
          <t>20_predicates_registry</t>
        </is>
      </c>
      <c r="C43" s="12" t="inlineStr">
        <is>
          <t>reorder canonical headers</t>
        </is>
      </c>
      <c r="D43" s="12" t="inlineStr">
        <is>
          <t>count_in_master / row_kinds before canonical fields</t>
        </is>
      </c>
      <c r="E43" s="12" t="inlineStr">
        <is>
          <t>canonical fields first; helper metrics trailing</t>
        </is>
      </c>
      <c r="F43" s="12" t="inlineStr">
        <is>
          <t>Переставить колонки так, чтобы predicate_id, predicate_ru, inverse_predicate_id, allowed_from_classes, allowed_to_classes, status, note шли первыми, а count_in_master и row_kinds жили справа.</t>
        </is>
      </c>
      <c r="G43" s="12" t="inlineStr">
        <is>
          <t>Registry должен говорить тем же диалектом, что и канон-контракт.</t>
        </is>
      </c>
      <c r="H43" s="12" t="inlineStr">
        <is>
          <t>Сохраняем helper metrics, но выносим их за canonical block.</t>
        </is>
      </c>
      <c r="I43" s="12" t="inlineStr">
        <is>
          <t>done_v6.1</t>
        </is>
      </c>
    </row>
    <row r="44" ht="34" customHeight="1">
      <c r="A44" s="12" t="inlineStr">
        <is>
          <t>P1</t>
        </is>
      </c>
      <c r="B44" s="12" t="inlineStr">
        <is>
          <t>21_class_registry</t>
        </is>
      </c>
      <c r="C44" s="12" t="inlineStr">
        <is>
          <t>reorder canonical headers</t>
        </is>
      </c>
      <c r="D44" s="12" t="inlineStr">
        <is>
          <t>family_guess + blank tail</t>
        </is>
      </c>
      <c r="E44" s="12" t="inlineStr">
        <is>
          <t>family + source_side helper</t>
        </is>
      </c>
      <c r="F44" s="12" t="inlineStr">
        <is>
          <t>Сделать canonical block class_id, family, parent_class, status, note; helper metrics и example_id вынести вправо; пустой хвост заменить на source_side formula.</t>
        </is>
      </c>
      <c r="G44" s="12" t="inlineStr">
        <is>
          <t>У класса должен быть канонический паспорт, а не только seed-метрики из master.</t>
        </is>
      </c>
      <c r="H44" s="12" t="inlineStr">
        <is>
          <t>family_guess -&gt; family; trailing helper cols остаются audit-слоем.</t>
        </is>
      </c>
      <c r="I44" s="12" t="inlineStr">
        <is>
          <t>done_v6.1</t>
        </is>
      </c>
    </row>
    <row r="45" ht="34" customHeight="1">
      <c r="A45" s="12" t="inlineStr">
        <is>
          <t>P1</t>
        </is>
      </c>
      <c r="B45" s="12" t="inlineStr">
        <is>
          <t>02-10 detailed sheets</t>
        </is>
      </c>
      <c r="C45" s="12" t="inlineStr">
        <is>
          <t>rewrite examples</t>
        </is>
      </c>
      <c r="D45" s="12" t="inlineStr">
        <is>
          <t>Минимальный пример строки</t>
        </is>
      </c>
      <c r="E45" s="12" t="inlineStr">
        <is>
          <t>Канонический пример строки</t>
        </is>
      </c>
      <c r="F45" s="12" t="inlineStr">
        <is>
          <t>Примеры строк переписать так, чтобы они показывали required contract и не учили старому диалекту полей.</t>
        </is>
      </c>
      <c r="G45" s="12" t="inlineStr">
        <is>
          <t>Именно example rows чаще всего становятся фактическим шаблоном authoring-а.</t>
        </is>
      </c>
      <c r="H45" s="12" t="inlineStr">
        <is>
          <t>Расширить example tables, не ломая field tables и стиль листов.</t>
        </is>
      </c>
      <c r="I45" s="12" t="inlineStr">
        <is>
          <t>done_v6.1</t>
        </is>
      </c>
    </row>
    <row r="46" ht="34" customHeight="1">
      <c r="A46" s="12" t="inlineStr">
        <is>
          <t>P1</t>
        </is>
      </c>
      <c r="B46" s="12" t="inlineStr">
        <is>
          <t>14_Порядок_прохода</t>
        </is>
      </c>
      <c r="C46" s="12" t="inlineStr">
        <is>
          <t>add lineage block</t>
        </is>
      </c>
      <c r="D46" s="12" t="inlineStr">
        <is>
          <t>workflow only</t>
        </is>
      </c>
      <c r="E46" s="12" t="inlineStr">
        <is>
          <t>traceable generation path</t>
        </is>
      </c>
      <c r="F46" s="12" t="inlineStr">
        <is>
          <t>Добавить отдельный block authoring_base -&gt; master_view -&gt; coverage/actual/registry projections.</t>
        </is>
      </c>
      <c r="G46" s="12" t="inlineStr">
        <is>
          <t>Нужна явная трасса генерации, чтобы serving-слой не казался новой скрытой truth-table.</t>
        </is>
      </c>
      <c r="H46" s="12" t="inlineStr">
        <is>
          <t>Добавить малую таблицу под основным workflow.</t>
        </is>
      </c>
      <c r="I46" s="12" t="inlineStr">
        <is>
          <t>done_v6.1</t>
        </is>
      </c>
    </row>
    <row r="47" ht="34" customHeight="1">
      <c r="A47" s="12" t="inlineStr">
        <is>
          <t>P2</t>
        </is>
      </c>
      <c r="B47" s="12" t="inlineStr">
        <is>
          <t>17-23 working sheets</t>
        </is>
      </c>
      <c r="C47" s="12" t="inlineStr">
        <is>
          <t>ergonomics</t>
        </is>
      </c>
      <c r="D47" s="12" t="inlineStr">
        <is>
          <t>no freeze panes / no filters / no dropdowns</t>
        </is>
      </c>
      <c r="E47" s="12" t="inlineStr">
        <is>
          <t>freeze panes + filters + dropdown validations</t>
        </is>
      </c>
      <c r="F47" s="12" t="inlineStr">
        <is>
          <t>Добавить freeze panes на ключевые serving/governance sheets, фильтры на data-blocks и dropdown validations на enum-поля.</t>
        </is>
      </c>
      <c r="G47" s="12" t="inlineStr">
        <is>
          <t>Это не меняет модель, но резко снижает трение ручной работы и audit drift.</t>
        </is>
      </c>
      <c r="H47" s="12" t="inlineStr">
        <is>
          <t>Никаких semantic rewrites, только удобство и guardrails.</t>
        </is>
      </c>
      <c r="I47" s="12" t="inlineStr">
        <is>
          <t>done_v6.1</t>
        </is>
      </c>
    </row>
    <row r="48" ht="34" customHeight="1">
      <c r="A48" s="12" t="inlineStr">
        <is>
          <t>P2</t>
        </is>
      </c>
      <c r="B48" s="12" t="inlineStr">
        <is>
          <t>15_Master / 16_Coverage</t>
        </is>
      </c>
      <c r="C48" s="12" t="inlineStr">
        <is>
          <t>growth buffer</t>
        </is>
      </c>
      <c r="D48" s="12" t="inlineStr">
        <is>
          <t>fixed table refs</t>
        </is>
      </c>
      <c r="E48" s="12" t="inlineStr">
        <is>
          <t>carry forward</t>
        </is>
      </c>
      <c r="F48" s="12" t="inlineStr">
        <is>
          <t>Table refs у serving sheets частично остаются фиксированными; это вынесено в следующий ход, чтобы не раздувать blank ranges и не ломать текущий обзор.</t>
        </is>
      </c>
      <c r="G48" s="12" t="inlineStr">
        <is>
          <t>Лучше честный carry-forward, чем шумная псевдо-динамика.</t>
        </is>
      </c>
      <c r="H48" s="12" t="inlineStr">
        <is>
          <t>Вернуться после решения по generated row buffers.</t>
        </is>
      </c>
      <c r="I48" s="12" t="inlineStr">
        <is>
          <t>carry_forward_v6.1</t>
        </is>
      </c>
    </row>
  </sheetData>
  <autoFilter ref="A11:I48"/>
  <mergeCells count="5">
    <mergeCell ref="B7:I7"/>
    <mergeCell ref="B6:I6"/>
    <mergeCell ref="B5:I5"/>
    <mergeCell ref="B8:I8"/>
    <mergeCell ref="B4:I4"/>
  </mergeCells>
  <dataValidations count="2">
    <dataValidation sqref="A12:A49" showDropDown="0" showInputMessage="0" showErrorMessage="0" allowBlank="1" type="list">
      <formula1>"P0,P1,P2"</formula1>
    </dataValidation>
    <dataValidation sqref="I12:I49" showDropDown="0" showInputMessage="0" showErrorMessage="0" allowBlank="1" type="list">
      <formula1>"applied_v6,done_v6.1,carry_forward_v6.1,planned_v6.x"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2026-03-28T00:00:49Z</dcterms:created>
  <dcterms:modified xmlns:dcterms="http://purl.org/dc/terms/" xmlns:xsi="http://www.w3.org/2001/XMLSchema-instance" xsi:type="dcterms:W3CDTF">2026-03-28T00:03:00Z</dcterms:modified>
</cp:coreProperties>
</file>