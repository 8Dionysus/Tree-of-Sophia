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9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1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2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3.xml" ContentType="application/vnd.openxmlformats-officedocument.spreadsheetml.worksheet+xml"/>
  <Override PartName="/xl/tables/table24.xml" ContentType="application/vnd.openxmlformats-officedocument.spreadsheetml.table+xml"/>
  <Override PartName="/xl/worksheets/sheet14.xml" ContentType="application/vnd.openxmlformats-officedocument.spreadsheetml.worksheet+xml"/>
  <Override PartName="/xl/tables/table25.xml" ContentType="application/vnd.openxmlformats-officedocument.spreadsheetml.table+xml"/>
  <Override PartName="/xl/worksheets/sheet15.xml" ContentType="application/vnd.openxmlformats-officedocument.spreadsheetml.worksheet+xml"/>
  <Override PartName="/xl/tables/table26.xml" ContentType="application/vnd.openxmlformats-officedocument.spreadsheetml.table+xml"/>
  <Override PartName="/xl/worksheets/sheet16.xml" ContentType="application/vnd.openxmlformats-officedocument.spreadsheetml.worksheet+xml"/>
  <Override PartName="/xl/tables/table27.xml" ContentType="application/vnd.openxmlformats-officedocument.spreadsheetml.table+xml"/>
  <Override PartName="/xl/worksheets/sheet17.xml" ContentType="application/vnd.openxmlformats-officedocument.spreadsheetml.worksheet+xml"/>
  <Override PartName="/xl/tables/table2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9f3e19c9d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Обзор" sheetId="1" r:id="R648c3d2c5cfb4367"/>
    <x:sheet xmlns:r="http://schemas.openxmlformats.org/officeDocument/2006/relationships" name="01_Ключи" sheetId="2" r:id="Re069f36716e9447a"/>
    <x:sheet xmlns:r="http://schemas.openxmlformats.org/officeDocument/2006/relationships" name="02_corpus_map" sheetId="3" r:id="R78c2e1bb49e44a8d"/>
    <x:sheet xmlns:r="http://schemas.openxmlformats.org/officeDocument/2006/relationships" name="03_witnesses" sheetId="4" r:id="Rfb5d4b34559b49ed"/>
    <x:sheet xmlns:r="http://schemas.openxmlformats.org/officeDocument/2006/relationships" name="04_segments" sheetId="5" r:id="Rf8a3d4539bba4160"/>
    <x:sheet xmlns:r="http://schemas.openxmlformats.org/officeDocument/2006/relationships" name="05_nodes" sheetId="6" r:id="Rb2d8657229c2497b"/>
    <x:sheet xmlns:r="http://schemas.openxmlformats.org/officeDocument/2006/relationships" name="06_event_state_nodes" sheetId="7" r:id="R170cffc3c80c499c"/>
    <x:sheet xmlns:r="http://schemas.openxmlformats.org/officeDocument/2006/relationships" name="07_edges" sheetId="8" r:id="R6ee05be57cca4676"/>
    <x:sheet xmlns:r="http://schemas.openxmlformats.org/officeDocument/2006/relationships" name="08_translation_tensions" sheetId="9" r:id="R44300f88cad94e50"/>
    <x:sheet xmlns:r="http://schemas.openxmlformats.org/officeDocument/2006/relationships" name="09_witness_glosses" sheetId="10" r:id="Rf19c6f3c05d64171"/>
    <x:sheet xmlns:r="http://schemas.openxmlformats.org/officeDocument/2006/relationships" name="10_principles" sheetId="11" r:id="R258dd122eee848ae"/>
    <x:sheet xmlns:r="http://schemas.openxmlformats.org/officeDocument/2006/relationships" name="11_Рост_и_спавн" sheetId="12" r:id="R2f4220f3f71f46d3"/>
    <x:sheet xmlns:r="http://schemas.openxmlformats.org/officeDocument/2006/relationships" name="12_Sources" sheetId="13" r:id="R652c0d9f5ea54144"/>
    <x:sheet xmlns:r="http://schemas.openxmlformats.org/officeDocument/2006/relationships" name="13_Проектная_схема" sheetId="14" r:id="Rce324f4f103f43c7"/>
    <x:sheet xmlns:r="http://schemas.openxmlformats.org/officeDocument/2006/relationships" name="14_Порядок_прохода" sheetId="15" r:id="R90d792fe788c4e67"/>
    <x:sheet xmlns:r="http://schemas.openxmlformats.org/officeDocument/2006/relationships" name="15_Master_связность_1_12" sheetId="16" r:id="Rdb8eb196de89493a"/>
    <x:sheet xmlns:r="http://schemas.openxmlformats.org/officeDocument/2006/relationships" name="16_Master_покрытие_1_12" sheetId="17" r:id="R89ea2fb21a30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family val="2"/>
      <x:scheme val="minor"/>
    </x:font>
    <x:font>
      <x:b/>
      <x:sz val="16"/>
    </x:font>
    <x:font>
      <x:i/>
      <x:color rgb="00666666"/>
    </x:font>
    <x:font>
      <x:b/>
    </x:font>
    <x:font>
      <x:b/>
      <x:color rgb="00FFFFFF"/>
    </x:font>
    <x:font>
      <x:b/>
      <x:sz val="13"/>
    </x:font>
    <x:font>
      <x:b/>
      <x:sz val="16"/>
      <x:color rgb="00000000"/>
      <x:name val="Calibri"/>
    </x:font>
    <x:font>
      <x:sz val="11"/>
      <x:color rgb="00666666"/>
      <x:name val="Calibri"/>
    </x:font>
    <x:font>
      <x:b/>
      <x:sz val="10"/>
      <x:color rgb="00000000"/>
      <x:name val="Calibri"/>
    </x:font>
    <x:font>
      <x:b/>
      <x:sz val="10"/>
      <x:color rgb="00FFFFFF"/>
      <x:name val="Calibri"/>
    </x:font>
    <x:font>
      <x:sz val="10"/>
      <x:color rgb="00000000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00E7E6E6"/>
      </x:patternFill>
    </x:fill>
    <x:fill>
      <x:patternFill patternType="solid">
        <x:fgColor rgb="001F4E78"/>
      </x:patternFill>
    </x:fill>
    <x:fill>
      <x:patternFill patternType="solid">
        <x:fgColor rgb="001F4E79"/>
      </x:patternFill>
    </x:fill>
    <x:fill>
      <x:patternFill patternType="solid">
        <x:fgColor rgb="00D9E2F3"/>
      </x:patternFill>
    </x:fill>
    <x:fill>
      <x:patternFill patternType="solid">
        <x:fgColor rgb="00EEF3F8"/>
      </x:patternFill>
    </x:fill>
    <x:fill>
      <x:patternFill patternType="solid">
        <x:fgColor rgb="00DDEBF7"/>
      </x:patternFill>
    </x:fill>
    <x:fill>
      <x:patternFill patternType="solid">
        <x:fgColor rgb="00FCE4D6"/>
      </x:patternFill>
    </x:fill>
    <x:fill>
      <x:patternFill patternType="solid">
        <x:fgColor rgb="00E2F0D9"/>
      </x:patternFill>
    </x:fill>
    <x:fill>
      <x:patternFill patternType="solid">
        <x:fgColor rgb="00EDE7F6"/>
      </x:patternFill>
    </x:fill>
  </x:fills>
  <x:borders count="2">
    <x:border>
      <x:left/>
      <x:right/>
      <x:top/>
      <x:bottom/>
      <x:diagonal/>
    </x:border>
    <x:border>
      <x:top style="thin">
        <x:color rgb="009FBAD0"/>
      </x:top>
      <x:bottom style="thin">
        <x:color rgb="009FBAD0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0" borderId="0" xfId="0" applyAlignment="1">
      <x:alignment vertical="top" wrapText="1"/>
    </x:xf>
    <x:xf numFmtId="0" fontId="4" fillId="3" borderId="0" xfId="0" applyAlignment="1">
      <x:alignment horizontal="center" vertical="center" wrapText="1"/>
    </x:xf>
    <x:xf numFmtId="0" fontId="3" fillId="0" borderId="0" xfId="0" applyAlignment="1">
      <x:alignment vertical="top" wrapText="1"/>
    </x:xf>
    <x:xf numFmtId="0" fontId="5" fillId="0" borderId="0" xfId="0"/>
    <x:xf numFmtId="0" fontId="8" fillId="0" borderId="0" xfId="0"/>
    <x:xf numFmtId="0" fontId="6" fillId="0" borderId="0" xfId="0"/>
    <x:xf numFmtId="0" fontId="7" fillId="0" borderId="0" xfId="0"/>
    <x:xf numFmtId="0" fontId="9" fillId="4" borderId="1" xfId="0" applyAlignment="1">
      <x:alignment vertical="top" wrapText="1"/>
    </x:xf>
    <x:xf numFmtId="0" fontId="10" fillId="5" borderId="1" xfId="0" applyAlignment="1">
      <x:alignment vertical="top" wrapText="1"/>
    </x:xf>
    <x:xf numFmtId="0" fontId="10" fillId="6" borderId="1" xfId="0" applyAlignment="1">
      <x:alignment vertical="top" wrapText="1"/>
    </x:xf>
    <x:xf numFmtId="0" fontId="3" fillId="0" borderId="0" xfId="0" applyAlignment="1">
      <x:alignment vertical="top"/>
    </x:xf>
    <x:xf numFmtId="0" fontId="3" fillId="7" borderId="0" xfId="0" applyAlignment="1">
      <x:alignment vertical="top" wrapText="1"/>
    </x:xf>
    <x:xf numFmtId="0" fontId="3" fillId="8" borderId="0" xfId="0" applyAlignment="1">
      <x:alignment vertical="top" wrapText="1"/>
    </x:xf>
    <x:xf numFmtId="0" fontId="3" fillId="9" borderId="0" xfId="0" applyAlignment="1">
      <x:alignment vertical="top" wrapText="1"/>
    </x:xf>
    <x:xf numFmtId="0" fontId="3" fillId="10" borderId="0" xfId="0" applyAlignment="1">
      <x:alignment vertical="top" wrapText="1"/>
    </x:xf>
    <x:xf numFmtId="0" fontId="4" fillId="3" borderId="0" xfId="0" applyAlignment="1">
      <x:alignment vertical="top" wrapText="1"/>
    </x:xf>
    <x:xf numFmtId="0" fontId="0" fillId="2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3" fillId="2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e3b050db94335" /><Relationship Type="http://schemas.openxmlformats.org/officeDocument/2006/relationships/theme" Target="/xl/theme/theme1.xml" Id="Rdb68b30cc4004fcd" /><Relationship Type="http://schemas.openxmlformats.org/officeDocument/2006/relationships/sharedStrings" Target="/xl/sharedStrings.xml" Id="R5da209c3e8414646" /><Relationship Type="http://schemas.openxmlformats.org/officeDocument/2006/relationships/worksheet" Target="/xl/worksheets/sheet1.xml" Id="R648c3d2c5cfb4367" /><Relationship Type="http://schemas.openxmlformats.org/officeDocument/2006/relationships/worksheet" Target="/xl/worksheets/sheet2.xml" Id="Re069f36716e9447a" /><Relationship Type="http://schemas.openxmlformats.org/officeDocument/2006/relationships/worksheet" Target="/xl/worksheets/sheet3.xml" Id="R78c2e1bb49e44a8d" /><Relationship Type="http://schemas.openxmlformats.org/officeDocument/2006/relationships/worksheet" Target="/xl/worksheets/sheet4.xml" Id="Rfb5d4b34559b49ed" /><Relationship Type="http://schemas.openxmlformats.org/officeDocument/2006/relationships/worksheet" Target="/xl/worksheets/sheet5.xml" Id="Rf8a3d4539bba4160" /><Relationship Type="http://schemas.openxmlformats.org/officeDocument/2006/relationships/worksheet" Target="/xl/worksheets/sheet6.xml" Id="Rb2d8657229c2497b" /><Relationship Type="http://schemas.openxmlformats.org/officeDocument/2006/relationships/worksheet" Target="/xl/worksheets/sheet7.xml" Id="R170cffc3c80c499c" /><Relationship Type="http://schemas.openxmlformats.org/officeDocument/2006/relationships/worksheet" Target="/xl/worksheets/sheet8.xml" Id="R6ee05be57cca4676" /><Relationship Type="http://schemas.openxmlformats.org/officeDocument/2006/relationships/worksheet" Target="/xl/worksheets/sheet9.xml" Id="R44300f88cad94e50" /><Relationship Type="http://schemas.openxmlformats.org/officeDocument/2006/relationships/worksheet" Target="/xl/worksheets/sheet10.xml" Id="Rf19c6f3c05d64171" /><Relationship Type="http://schemas.openxmlformats.org/officeDocument/2006/relationships/worksheet" Target="/xl/worksheets/sheet11.xml" Id="R258dd122eee848ae" /><Relationship Type="http://schemas.openxmlformats.org/officeDocument/2006/relationships/worksheet" Target="/xl/worksheets/sheet12.xml" Id="R2f4220f3f71f46d3" /><Relationship Type="http://schemas.openxmlformats.org/officeDocument/2006/relationships/worksheet" Target="/xl/worksheets/sheet13.xml" Id="R652c0d9f5ea54144" /><Relationship Type="http://schemas.openxmlformats.org/officeDocument/2006/relationships/worksheet" Target="/xl/worksheets/sheet14.xml" Id="Rce324f4f103f43c7" /><Relationship Type="http://schemas.openxmlformats.org/officeDocument/2006/relationships/worksheet" Target="/xl/worksheets/sheet15.xml" Id="R90d792fe788c4e67" /><Relationship Type="http://schemas.openxmlformats.org/officeDocument/2006/relationships/worksheet" Target="/xl/worksheets/sheet16.xml" Id="Rdb8eb196de89493a" /><Relationship Type="http://schemas.openxmlformats.org/officeDocument/2006/relationships/worksheet" Target="/xl/worksheets/sheet17.xml" Id="R89ea2fb21a30463c" /></Relationships>
</file>

<file path=xl/tables/table1.xml><?xml version="1.0" encoding="utf-8"?>
<x:table xmlns:x="http://schemas.openxmlformats.org/spreadsheetml/2006/main" id="1" name="OverviewCatalog" displayName="OverviewCatalog" ref="A11:F25" headerRowCount="1">
  <x:autoFilter ref="A11:F25"/>
  <x:tableColumns count="6">
    <x:tableColumn id="1" name="Таблица"/>
    <x:tableColumn id="2" name="Слой"/>
    <x:tableColumn id="3" name="Когда начинать"/>
    <x:tableColumn id="4" name="Зачем нужна"/>
    <x:tableColumn id="5" name="Начинать сразу?"/>
    <x:tableColumn id="6" name="Когда спавнить дальше"/>
  </x:tableColumns>
  <x:tableStyleInfo name="TableStyleMedium2" showRowStripes="1"/>
</x:table>
</file>

<file path=xl/tables/table2.xml><?xml version="1.0" encoding="utf-8"?>
<x:table xmlns:x="http://schemas.openxmlformats.org/spreadsheetml/2006/main" id="2" name="GrowthRules" displayName="GrowthRules" ref="A28:B34" headerRowCount="1">
  <x:autoFilter ref="A28:B34"/>
  <x:tableColumns count="2">
    <x:tableColumn id="1" name="№"/>
    <x:tableColumn id="2" name="Правило"/>
  </x:tableColumns>
  <x:tableStyleInfo name="TableStyleMedium2" showRowStripes="1"/>
</x:table>
</file>

<file path=xl/tables/table3.xml><?xml version="1.0" encoding="utf-8"?>
<x:table xmlns:x="http://schemas.openxmlformats.org/spreadsheetml/2006/main" id="3" name="KeyDictionary" displayName="KeyDictionary" ref="A4:E12" headerRowCount="1">
  <x:autoFilter ref="A4:E12"/>
  <x:tableColumns count="5">
    <x:tableColumn id="1" name="Ключ"/>
    <x:tableColumn id="2" name="Где живёт"/>
    <x:tableColumn id="3" name="Что означает"/>
    <x:tableColumn id="4" name="Пример"/>
    <x:tableColumn id="5" name="Правило"/>
  </x:tableColumns>
  <x:tableStyleInfo name="TableStyleMedium2" showRowStripes="1"/>
</x:table>
</file>

<file path=xl/tables/table4.xml><?xml version="1.0" encoding="utf-8"?>
<x:table xmlns:x="http://schemas.openxmlformats.org/spreadsheetml/2006/main" id="4" name="corpus_map_Fields" displayName="corpus_map_Fields" ref="A14:F24" headerRowCount="1">
  <x:autoFilter ref="A14:F24"/>
  <x:tableColumns count="6">
    <x:tableColumn id="1" name="Поле"/>
    <x:tableColumn id="2" name="Обязат."/>
    <x:tableColumn id="3" name="Тип"/>
    <x:tableColumn id="4" name="Описание"/>
    <x:tableColumn id="5" name="Пример"/>
    <x:tableColumn id="6" name="Правило"/>
  </x:tableColumns>
  <x:tableStyleInfo name="TableStyleMedium2" showRowStripes="1"/>
</x:table>
</file>

<file path=xl/tables/table5.xml><?xml version="1.0" encoding="utf-8"?>
<x:table xmlns:x="http://schemas.openxmlformats.org/spreadsheetml/2006/main" id="5" name="corpus_map_Example" displayName="corpus_map_Example" ref="A27:F28" headerRowCount="1">
  <x:autoFilter ref="A27:F28"/>
  <x:tableColumns count="6">
    <x:tableColumn id="1" name="corpus_row_id"/>
    <x:tableColumn id="2" name="work_id"/>
    <x:tableColumn id="3" name="source_secondary"/>
    <x:tableColumn id="4" name="sort_key"/>
    <x:tableColumn id="5" name="title_ru"/>
    <x:tableColumn id="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witnesses_Fields" displayName="witnesses_Fields" ref="A14:F24" headerRowCount="1">
  <x:autoFilter ref="A14:F24"/>
  <x:tableColumns count="6">
    <x:tableColumn id="1" name="Поле"/>
    <x:tableColumn id="2" name="Обязат."/>
    <x:tableColumn id="3" name="Тип"/>
    <x:tableColumn id="4" name="Описание"/>
    <x:tableColumn id="5" name="Пример"/>
    <x:tableColumn id="6" name="Правило"/>
  </x:tableColumns>
  <x:tableStyleInfo name="TableStyleMedium2" showRowStripes="1"/>
</x:table>
</file>

<file path=xl/tables/table7.xml><?xml version="1.0" encoding="utf-8"?>
<x:table xmlns:x="http://schemas.openxmlformats.org/spreadsheetml/2006/main" id="7" name="witnesses_Example" displayName="witnesses_Example" ref="A27:G28" headerRowCount="1">
  <x:autoFilter ref="A27:G28"/>
  <x:tableColumns count="7">
    <x:tableColumn id="1" name="witness_id"/>
    <x:tableColumn id="2" name="language"/>
    <x:tableColumn id="3" name="role"/>
    <x:tableColumn id="4" name="authority_level"/>
    <x:tableColumn id="5" name="based_on"/>
    <x:tableColumn id="6" name="author_or_translator"/>
    <x:tableColumn id="7" name="normalization_note"/>
  </x:tableColumns>
  <x:tableStyleInfo name="TableStyleMedium2" showRowStripes="1"/>
</x:table>
</file>

<file path=xl/tables/table8.xml><?xml version="1.0" encoding="utf-8"?>
<x:table xmlns:x="http://schemas.openxmlformats.org/spreadsheetml/2006/main" id="8" name="segments_Fields" displayName="segments_Fields" ref="A14:F23" headerRowCount="1">
  <x:autoFilter ref="A14:F23"/>
  <x:tableColumns count="6">
    <x:tableColumn id="1" name="Поле"/>
    <x:tableColumn id="2" name="Обязат."/>
    <x:tableColumn id="3" name="Тип"/>
    <x:tableColumn id="4" name="Описание"/>
    <x:tableColumn id="5" name="Пример"/>
    <x:tableColumn id="6" name="Правило"/>
  </x:tableColumns>
  <x:tableStyleInfo name="TableStyleMedium2" showRowStripes="1"/>
</x:table>
</file>

<file path=xl/tables/table9.xml><?xml version="1.0" encoding="utf-8"?>
<x:table xmlns:x="http://schemas.openxmlformats.org/spreadsheetml/2006/main" id="9" name="segments_Example" displayName="segments_Example" ref="A26:F27" headerRowCount="1">
  <x:autoFilter ref="A26:F27"/>
  <x:tableColumns count="6">
    <x:tableColumn id="1" name="segment_id"/>
    <x:tableColumn id="2" name="source_secondary"/>
    <x:tableColumn id="3" name="paragraph_locator"/>
    <x:tableColumn id="4" name="sort_key"/>
    <x:tableColumn id="5" name="witness_scope"/>
    <x:tableColumn id="6" name="title_ru"/>
  </x:tableColumns>
  <x:tableStyleInfo name="TableStyleMedium2" showRowStripes="1"/>
</x:table>
</file>

<file path=xl/tables/table10.xml><?xml version="1.0" encoding="utf-8"?>
<x:table xmlns:x="http://schemas.openxmlformats.org/spreadsheetml/2006/main" id="10" name="nodes_Fields" displayName="nodes_Fields" ref="A14:F23" headerRowCount="1">
  <x:autoFilter ref="A14:F23"/>
  <x:tableColumns count="6">
    <x:tableColumn id="1" name="Поле"/>
    <x:tableColumn id="2" name="Обязат."/>
    <x:tableColumn id="3" name="Тип"/>
    <x:tableColumn id="4" name="Описание"/>
    <x:tableColumn id="5" name="Пример"/>
    <x:tableColumn id="6" name="Правило"/>
  </x:tableColumns>
  <x:tableStyleInfo name="TableStyleMedium2" showRowStripes="1"/>
</x:table>
</file>

<file path=xl/tables/table11.xml><?xml version="1.0" encoding="utf-8"?>
<x:table xmlns:x="http://schemas.openxmlformats.org/spreadsheetml/2006/main" id="11" name="nodes_Example" displayName="nodes_Example" ref="A26:F27" headerRowCount="1">
  <x:autoFilter ref="A26:F27"/>
  <x:tableColumns count="6">
    <x:tableColumn id="1" name="node_id"/>
    <x:tableColumn id="2" name="label_ru"/>
    <x:tableColumn id="3" name="node_class"/>
    <x:tableColumn id="4" name="first_segment_id"/>
    <x:tableColumn id="5" name="first_source_secondary"/>
    <x:tableColumn id="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event_state_nodes_Fields" displayName="event_state_nodes_Fields" ref="A14:F24" headerRowCount="1">
  <x:autoFilter ref="A14:F24"/>
  <x:tableColumns count="6">
    <x:tableColumn id="1" name="Поле"/>
    <x:tableColumn id="2" name="Обязат."/>
    <x:tableColumn id="3" name="Тип"/>
    <x:tableColumn id="4" name="Описание"/>
    <x:tableColumn id="5" name="Пример"/>
    <x:tableColumn id="6" name="Правило"/>
  </x:tableColumns>
  <x:tableStyleInfo name="TableStyleMedium2" showRowStripes="1"/>
</x:table>
</file>

<file path=xl/tables/table13.xml><?xml version="1.0" encoding="utf-8"?>
<x:table xmlns:x="http://schemas.openxmlformats.org/spreadsheetml/2006/main" id="13" name="event_state_nodes_Example" displayName="event_state_nodes_Example" ref="A27:F28" headerRowCount="1">
  <x:autoFilter ref="A27:F28"/>
  <x:tableColumns count="6">
    <x:tableColumn id="1" name="es_id"/>
    <x:tableColumn id="2" name="kind"/>
    <x:tableColumn id="3" name="anchor_mode"/>
    <x:tableColumn id="4" name="anchor_start"/>
    <x:tableColumn id="5" name="anchor_end"/>
    <x:tableColumn id="6" name="label_ru"/>
  </x:tableColumns>
  <x:tableStyleInfo name="TableStyleMedium2" showRowStripes="1"/>
</x:table>
</file>

<file path=xl/tables/table14.xml><?xml version="1.0" encoding="utf-8"?>
<x:table xmlns:x="http://schemas.openxmlformats.org/spreadsheetml/2006/main" id="14" name="edges_Fields" displayName="edges_Fields" ref="A14:F24" headerRowCount="1">
  <x:autoFilter ref="A14:F24"/>
  <x:tableColumns count="6">
    <x:tableColumn id="1" name="Поле"/>
    <x:tableColumn id="2" name="Обязат."/>
    <x:tableColumn id="3" name="Тип"/>
    <x:tableColumn id="4" name="Описание"/>
    <x:tableColumn id="5" name="Пример"/>
    <x:tableColumn id="6" name="Правило"/>
  </x:tableColumns>
  <x:tableStyleInfo name="TableStyleMedium2" showRowStripes="1"/>
</x:table>
</file>

<file path=xl/tables/table15.xml><?xml version="1.0" encoding="utf-8"?>
<x:table xmlns:x="http://schemas.openxmlformats.org/spreadsheetml/2006/main" id="15" name="edges_Example" displayName="edges_Example" ref="A27:G28" headerRowCount="1">
  <x:autoFilter ref="A27:G28"/>
  <x:tableColumns count="7">
    <x:tableColumn id="1" name="edge_id"/>
    <x:tableColumn id="2" name="from_id"/>
    <x:tableColumn id="3" name="predicate_id"/>
    <x:tableColumn id="4" name="to_id"/>
    <x:tableColumn id="5" name="layer"/>
    <x:tableColumn id="6" name="anchor_source_secondary"/>
    <x:tableColumn id="7" name="segment_id"/>
  </x:tableColumns>
  <x:tableStyleInfo name="TableStyleMedium2" showRowStripes="1"/>
</x:table>
</file>

<file path=xl/tables/table16.xml><?xml version="1.0" encoding="utf-8"?>
<x:table xmlns:x="http://schemas.openxmlformats.org/spreadsheetml/2006/main" id="16" name="translation_tensions_Fields" displayName="translation_tensions_Fields" ref="A14:F24" headerRowCount="1">
  <x:autoFilter ref="A14:F24"/>
  <x:tableColumns count="6">
    <x:tableColumn id="1" name="Поле"/>
    <x:tableColumn id="2" name="Обязат."/>
    <x:tableColumn id="3" name="Тип"/>
    <x:tableColumn id="4" name="Описание"/>
    <x:tableColumn id="5" name="Пример"/>
    <x:tableColumn id="6" name="Правило"/>
  </x:tableColumns>
  <x:tableStyleInfo name="TableStyleMedium2" showRowStripes="1"/>
</x:table>
</file>

<file path=xl/tables/table17.xml><?xml version="1.0" encoding="utf-8"?>
<x:table xmlns:x="http://schemas.openxmlformats.org/spreadsheetml/2006/main" id="17" name="translation_tensions_Example" displayName="translation_tensions_Example" ref="A27:G28" headerRowCount="1">
  <x:autoFilter ref="A27:G28"/>
  <x:tableColumns count="7">
    <x:tableColumn id="1" name="tension_id"/>
    <x:tableColumn id="2" name="segment_id"/>
    <x:tableColumn id="3" name="surface_de"/>
    <x:tableColumn id="4" name="surface_ru"/>
    <x:tableColumn id="5" name="surface_en"/>
    <x:tableColumn id="6" name="normalized_core"/>
    <x:tableColumn id="7" name="why_load_bearing"/>
  </x:tableColumns>
  <x:tableStyleInfo name="TableStyleMedium2" showRowStripes="1"/>
</x:table>
</file>

<file path=xl/tables/table18.xml><?xml version="1.0" encoding="utf-8"?>
<x:table xmlns:x="http://schemas.openxmlformats.org/spreadsheetml/2006/main" id="18" name="witness_glosses_Fields" displayName="witness_glosses_Fields" ref="A14:F22" headerRowCount="1">
  <x:autoFilter ref="A14:F22"/>
  <x:tableColumns count="6">
    <x:tableColumn id="1" name="Поле"/>
    <x:tableColumn id="2" name="Обязат."/>
    <x:tableColumn id="3" name="Тип"/>
    <x:tableColumn id="4" name="Описание"/>
    <x:tableColumn id="5" name="Пример"/>
    <x:tableColumn id="6" name="Правило"/>
  </x:tableColumns>
  <x:tableStyleInfo name="TableStyleMedium2" showRowStripes="1"/>
</x:table>
</file>

<file path=xl/tables/table19.xml><?xml version="1.0" encoding="utf-8"?>
<x:table xmlns:x="http://schemas.openxmlformats.org/spreadsheetml/2006/main" id="19" name="witness_glosses_Example" displayName="witness_glosses_Example" ref="A25:F26" headerRowCount="1">
  <x:autoFilter ref="A25:F26"/>
  <x:tableColumns count="6">
    <x:tableColumn id="1" name="gloss_id"/>
    <x:tableColumn id="2" name="witness_id"/>
    <x:tableColumn id="3" name="segment_id"/>
    <x:tableColumn id="4" name="token_or_phrase"/>
    <x:tableColumn id="5" name="normalized_core"/>
    <x:tableColumn id="6" name="gloss_note"/>
  </x:tableColumns>
  <x:tableStyleInfo name="TableStyleMedium2" showRowStripes="1"/>
</x:table>
</file>

<file path=xl/tables/table20.xml><?xml version="1.0" encoding="utf-8"?>
<x:table xmlns:x="http://schemas.openxmlformats.org/spreadsheetml/2006/main" id="20" name="principles_Fields" displayName="principles_Fields" ref="A14:F22" headerRowCount="1">
  <x:autoFilter ref="A14:F22"/>
  <x:tableColumns count="6">
    <x:tableColumn id="1" name="Поле"/>
    <x:tableColumn id="2" name="Обязат."/>
    <x:tableColumn id="3" name="Тип"/>
    <x:tableColumn id="4" name="Описание"/>
    <x:tableColumn id="5" name="Пример"/>
    <x:tableColumn id="6" name="Правило"/>
  </x:tableColumns>
  <x:tableStyleInfo name="TableStyleMedium2" showRowStripes="1"/>
</x:table>
</file>

<file path=xl/tables/table21.xml><?xml version="1.0" encoding="utf-8"?>
<x:table xmlns:x="http://schemas.openxmlformats.org/spreadsheetml/2006/main" id="21" name="principles_Example" displayName="principles_Example" ref="A25:F26" headerRowCount="1">
  <x:autoFilter ref="A25:F26"/>
  <x:tableColumns count="6">
    <x:tableColumn id="1" name="principle_id"/>
    <x:tableColumn id="2" name="layer"/>
    <x:tableColumn id="3" name="anchor_segments"/>
    <x:tableColumn id="4" name="formula_ru"/>
    <x:tableColumn id="5" name="supporting_ids"/>
    <x:tableColumn id="6" name="status"/>
  </x:tableColumns>
  <x:tableStyleInfo name="TableStyleMedium2" showRowStripes="1"/>
</x:table>
</file>

<file path=xl/tables/table22.xml><?xml version="1.0" encoding="utf-8"?>
<x:table xmlns:x="http://schemas.openxmlformats.org/spreadsheetml/2006/main" id="22" name="growth_rules_Fields" displayName="growth_rules_Fields" ref="A14:F19" headerRowCount="1">
  <x:autoFilter ref="A14:F19"/>
  <x:tableColumns count="6">
    <x:tableColumn id="1" name="Поле"/>
    <x:tableColumn id="2" name="Обязат."/>
    <x:tableColumn id="3" name="Тип"/>
    <x:tableColumn id="4" name="Описание"/>
    <x:tableColumn id="5" name="Пример"/>
    <x:tableColumn id="6" name="Правило"/>
  </x:tableColumns>
  <x:tableStyleInfo name="TableStyleMedium2" showRowStripes="1"/>
</x:table>
</file>

<file path=xl/tables/table23.xml><?xml version="1.0" encoding="utf-8"?>
<x:table xmlns:x="http://schemas.openxmlformats.org/spreadsheetml/2006/main" id="23" name="growth_rules_Example" displayName="growth_rules_Example" ref="A22:E26" headerRowCount="1">
  <x:autoFilter ref="A22:E26"/>
  <x:tableColumns count="5">
    <x:tableColumn id="1" name="rule_id"/>
    <x:tableColumn id="2" name="question"/>
    <x:tableColumn id="3" name="yes_action"/>
    <x:tableColumn id="4" name="no_action"/>
    <x:tableColumn id="5" name="danger"/>
  </x:tableColumns>
  <x:tableStyleInfo name="TableStyleMedium2" showRowStripes="1"/>
</x:table>
</file>

<file path=xl/tables/table24.xml><?xml version="1.0" encoding="utf-8"?>
<x:table xmlns:x="http://schemas.openxmlformats.org/spreadsheetml/2006/main" id="24" name="SourceList" displayName="SourceList" ref="A4:C7" headerRowCount="1">
  <x:autoFilter ref="A4:C7"/>
  <x:tableColumns count="3">
    <x:tableColumn id="1" name="Источник"/>
    <x:tableColumn id="2" name="URL"/>
    <x:tableColumn id="3" name="Зачем нужен"/>
  </x:tableColumns>
  <x:tableStyleInfo name="TableStyleMedium2" showRowStripes="1"/>
</x:table>
</file>

<file path=xl/tables/table25.xml><?xml version="1.0" encoding="utf-8"?>
<x:table xmlns:x="http://schemas.openxmlformats.org/spreadsheetml/2006/main" id="25" name="tbl_project_schema" displayName="tbl_project_schema" ref="A11:I25" headerRowCount="1">
  <x:autoFilter ref="A11:I25"/>
  <x:tableColumns count="9">
    <x:tableColumn id="1" name="Таблица"/>
    <x:tableColumn id="2" name="Волна"/>
    <x:tableColumn id="3" name="Обязательные поля"/>
    <x:tableColumn id="4" name="Опциональные поля"/>
    <x:tableColumn id="5" name="Заполнять когда"/>
    <x:tableColumn id="6" name="Правило заполнения"/>
    <x:tableColumn id="7" name="Не делать"/>
    <x:tableColumn id="8" name="Спавнить дальше когда"/>
    <x:tableColumn id="9" name="Минимальный пример"/>
  </x:tableColumns>
  <x:tableStyleInfo name="TableStyleMedium2"/>
</x:table>
</file>

<file path=xl/tables/table26.xml><?xml version="1.0" encoding="utf-8"?>
<x:table xmlns:x="http://schemas.openxmlformats.org/spreadsheetml/2006/main" id="26" name="tbl_flow_order" displayName="tbl_flow_order" ref="A9:G21" headerRowCount="1">
  <x:autoFilter ref="A9:G21"/>
  <x:tableColumns count="7">
    <x:tableColumn id="1" name="Шаг"/>
    <x:tableColumn id="2" name="Волна"/>
    <x:tableColumn id="3" name="Что делаем"/>
    <x:tableColumn id="4" name="Какие таблицы трогаем"/>
    <x:tableColumn id="5" name="Минимальный результат"/>
    <x:tableColumn id="6" name="Стоп-условие"/>
    <x:tableColumn id="7" name="Что рождаем потом"/>
  </x:tableColumns>
  <x:tableStyleInfo name="TableStyleMedium2"/>
</x:table>
</file>

<file path=xl/tables/table27.xml><?xml version="1.0" encoding="utf-8"?>
<x:table xmlns:x="http://schemas.openxmlformats.org/spreadsheetml/2006/main" id="27" name="MasterConnectivity" displayName="MasterConnectivity" ref="A11:U139" headerRowCount="1">
  <x:autoFilter ref="A11:U139"/>
  <x:tableColumns count="21">
    <x:tableColumn id="1" name="master_id"/>
    <x:tableColumn id="2" name="row_kind"/>
    <x:tableColumn id="3" name="from_id"/>
    <x:tableColumn id="4" name="from_label_ru"/>
    <x:tableColumn id="5" name="from_class"/>
    <x:tableColumn id="6" name="predicate_id"/>
    <x:tableColumn id="7" name="predicate_ru"/>
    <x:tableColumn id="8" name="to_id"/>
    <x:tableColumn id="9" name="to_label_ru"/>
    <x:tableColumn id="10" name="to_class"/>
    <x:tableColumn id="11" name="layer"/>
    <x:tableColumn id="12" name="source_secondary_start"/>
    <x:tableColumn id="13" name="source_secondary_end"/>
    <x:tableColumn id="14" name="p_start"/>
    <x:tableColumn id="15" name="p_end"/>
    <x:tableColumn id="16" name="n_range"/>
    <x:tableColumn id="17" name="paragraph_tags"/>
    <x:tableColumn id="18" name="segment_ids"/>
    <x:tableColumn id="19" name="witness_scope"/>
    <x:tableColumn id="20" name="connectivity_role"/>
    <x:tableColumn id="21" name="note_ru"/>
  </x:tableColumns>
  <x:tableStyleInfo name="TableStyleMedium2"/>
</x:table>
</file>

<file path=xl/tables/table28.xml><?xml version="1.0" encoding="utf-8"?>
<x:table xmlns:x="http://schemas.openxmlformats.org/spreadsheetml/2006/main" id="28" name="MasterCoverageParagraphs" displayName="MasterCoverageParagraphs" ref="A9:F21" headerRowCount="1">
  <x:autoFilter ref="A9:F21"/>
  <x:tableColumns count="6">
    <x:tableColumn id="1" name="Абзац"/>
    <x:tableColumn id="2" name="segment_id"/>
    <x:tableColumn id="3" name="Всего строк"/>
    <x:tableColumn id="4" name="source_edge"/>
    <x:tableColumn id="5" name="bridge_edge"/>
    <x:tableColumn id="6" name="principle_edge"/>
  </x:tableColumns>
  <x:tableStyleInfo name="TableStyleMedium2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c060cb2c6d4074" /><Relationship Type="http://schemas.openxmlformats.org/officeDocument/2006/relationships/table" Target="/xl/tables/table2.xml" Id="Rd0efc0549eb849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8e33a20c7b104a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5b1262728c2a4ebd" /><Relationship Type="http://schemas.openxmlformats.org/officeDocument/2006/relationships/table" Target="/xl/tables/table5.xml" Id="R8534ae2900d947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de627e76aa174fa5" /><Relationship Type="http://schemas.openxmlformats.org/officeDocument/2006/relationships/table" Target="/xl/tables/table7.xml" Id="Ra7ef4b5499134d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b7248b1a1d554234" /><Relationship Type="http://schemas.openxmlformats.org/officeDocument/2006/relationships/table" Target="/xl/tables/table9.xml" Id="R1a291ee7ad6d4d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5a4c07cfff8a4830" /><Relationship Type="http://schemas.openxmlformats.org/officeDocument/2006/relationships/table" Target="/xl/tables/table11.xml" Id="R83f873882f8f447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2.xml" Id="R51a5f843e4f04f20" /><Relationship Type="http://schemas.openxmlformats.org/officeDocument/2006/relationships/table" Target="/xl/tables/table13.xml" Id="R8a47a5b41fbe47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4.xml" Id="R0f4a8054abf243e5" /><Relationship Type="http://schemas.openxmlformats.org/officeDocument/2006/relationships/table" Target="/xl/tables/table15.xml" Id="Rfd91594823ac40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6.xml" Id="R6ff9b812ee8c4650" /><Relationship Type="http://schemas.openxmlformats.org/officeDocument/2006/relationships/table" Target="/xl/tables/table17.xml" Id="Ra9f4b99a90204f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8.xml" Id="Ref44b31bd2b04535" /><Relationship Type="http://schemas.openxmlformats.org/officeDocument/2006/relationships/table" Target="/xl/tables/table19.xml" Id="R5902bfd433c84d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0.xml" Id="R104067de2f40479a" /><Relationship Type="http://schemas.openxmlformats.org/officeDocument/2006/relationships/table" Target="/xl/tables/table21.xml" Id="R5a40dbd3fb73414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22.xml" Id="R235921f8e3fa4801" /><Relationship Type="http://schemas.openxmlformats.org/officeDocument/2006/relationships/table" Target="/xl/tables/table23.xml" Id="Rccd1538ac4ef4e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4.xml" Id="R77e996829b464b6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5.xml" Id="R0829e345108e4b7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6.xml" Id="R8778eeecb2af443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7.xml" Id="R63164dcab83b438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8.xml" Id="R64b2622d2daf49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95" customWidth="1"/>
    <x:col min="3" max="3" width="18" customWidth="1"/>
    <x:col min="4" max="4" width="38" customWidth="1"/>
    <x:col min="5" max="5" width="15" customWidth="1"/>
    <x:col min="6" max="6" width="3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Стартовая схема проекта ToS/KAG</x:t>
        </x:is>
      </x:c>
    </x:row>
    <x:row r="2" ht="20" customHeight="1">
      <x:c r="A2" s="2" t="inlineStr">
        <x:is>
          <x:t xml:space="preserve">Фундаментальные таблицы, правила роста и момент спавна новых таблиц</x:t>
        </x:is>
      </x:c>
    </x:row>
    <x:row r="4">
      <x:c r="A4" s="3" t="inlineStr">
        <x:is>
          <x:t xml:space="preserve">Главный принцип</x:t>
        </x:is>
      </x:c>
      <x:c r="B4" s="4" t="inlineStr">
        <x:is>
          <x:t xml:space="preserve">Сначала маленькое устойчивое ядро таблиц, затем проекции и новые таблицы поверх него.</x:t>
        </x:is>
      </x:c>
    </x:row>
    <x:row r="5">
      <x:c r="A5" s="3" t="inlineStr">
        <x:is>
          <x:t xml:space="preserve">Текущий режим</x:t>
        </x:is>
      </x:c>
      <x:c r="B5" s="4" t="inlineStr">
        <x:is>
          <x:t xml:space="preserve">Горизонтальная волна: широкое покрытие корпуса. Вертикальная волна: углубление плотных мест.</x:t>
        </x:is>
      </x:c>
    </x:row>
    <x:row r="6">
      <x:c r="A6" s="3" t="inlineStr">
        <x:is>
          <x:t xml:space="preserve">Базовый пакет</x:t>
        </x:is>
      </x:c>
      <x:c r="B6" s="4" t="inlineStr">
        <x:is>
          <x:t xml:space="preserve">corpus_map, witnesses, segments, nodes, event_state_nodes, edges, translation_tensions</x:t>
        </x:is>
      </x:c>
    </x:row>
    <x:row r="7">
      <x:c r="A7" s="3" t="inlineStr">
        <x:is>
          <x:t xml:space="preserve">Вторая волна</x:t>
        </x:is>
      </x:c>
      <x:c r="B7" s="4" t="inlineStr">
        <x:is>
          <x:t xml:space="preserve">witness_glosses, principles</x:t>
        </x:is>
      </x:c>
    </x:row>
    <x:row r="8">
      <x:c r="A8" s="3" t="inlineStr">
        <x:is>
          <x:t xml:space="preserve">Третья волна</x:t>
        </x:is>
      </x:c>
      <x:c r="B8" s="4" t="inlineStr">
        <x:is>
          <x:t xml:space="preserve">analogy_nodes, reasoning_paths, lineage_links, agent_witnesses, query_views</x:t>
        </x:is>
      </x:c>
    </x:row>
    <x:row r="9">
      <x:c r="A9" s="3" t="inlineStr">
        <x:is>
          <x:t xml:space="preserve">Стоп-правило</x:t>
        </x:is>
      </x:c>
      <x:c r="B9" s="4" t="inlineStr">
        <x:is>
          <x:t xml:space="preserve">Новая таблица нужна только если она делает отдельную работу: provenance, слой утверждения, новый тип вопроса, снижение дублирования.</x:t>
        </x:is>
      </x:c>
    </x:row>
    <x:row r="11">
      <x:c r="A11" s="5" t="inlineStr">
        <x:is>
          <x:t xml:space="preserve">Таблица</x:t>
        </x:is>
      </x:c>
      <x:c r="B11" s="5" t="inlineStr">
        <x:is>
          <x:t xml:space="preserve">Слой</x:t>
        </x:is>
      </x:c>
      <x:c r="C11" s="5" t="inlineStr">
        <x:is>
          <x:t xml:space="preserve">Когда начинать</x:t>
        </x:is>
      </x:c>
      <x:c r="D11" s="5" t="inlineStr">
        <x:is>
          <x:t xml:space="preserve">Зачем нужна</x:t>
        </x:is>
      </x:c>
      <x:c r="E11" s="5" t="inlineStr">
        <x:is>
          <x:t xml:space="preserve">Начинать сразу?</x:t>
        </x:is>
      </x:c>
      <x:c r="F11" s="5" t="inlineStr">
        <x:is>
          <x:t xml:space="preserve">Когда спавнить дальше</x:t>
        </x:is>
      </x:c>
    </x:row>
    <x:row r="12">
      <x:c r="A12" s="6" t="inlineStr">
        <x:is>
          <x:t xml:space="preserve">corpus_map</x:t>
        </x:is>
      </x:c>
      <x:c r="B12" s="4" t="inlineStr">
        <x:is>
          <x:t xml:space="preserve">фундаментальный</x:t>
        </x:is>
      </x:c>
      <x:c r="C12" s="4" t="inlineStr">
        <x:is>
          <x:t xml:space="preserve">сразу</x:t>
        </x:is>
      </x:c>
      <x:c r="D12" s="4" t="inlineStr">
        <x:is>
          <x:t xml:space="preserve">карта корпуса и стабильная адресация</x:t>
        </x:is>
      </x:c>
      <x:c r="E12" s="4" t="inlineStr">
        <x:is>
          <x:t xml:space="preserve">да</x:t>
        </x:is>
      </x:c>
      <x:c r="F12" s="4" t="inlineStr">
        <x:is>
          <x:t xml:space="preserve">если нужен адрес книги/главы/части/абзаца</x:t>
        </x:is>
      </x:c>
    </x:row>
    <x:row r="13">
      <x:c r="A13" s="6" t="inlineStr">
        <x:is>
          <x:t xml:space="preserve">witnesses</x:t>
        </x:is>
      </x:c>
      <x:c r="B13" s="4" t="inlineStr">
        <x:is>
          <x:t xml:space="preserve">фундаментальный</x:t>
        </x:is>
      </x:c>
      <x:c r="C13" s="4" t="inlineStr">
        <x:is>
          <x:t xml:space="preserve">сразу</x:t>
        </x:is>
      </x:c>
      <x:c r="D13" s="4" t="inlineStr">
        <x:is>
          <x:t xml:space="preserve">кто говорит и в каком статусе</x:t>
        </x:is>
      </x:c>
      <x:c r="E13" s="4" t="inlineStr">
        <x:is>
          <x:t xml:space="preserve">да</x:t>
        </x:is>
      </x:c>
      <x:c r="F13" s="4" t="inlineStr">
        <x:is>
          <x:t xml:space="preserve">если есть 2+ witness-слоя или нужен provenance</x:t>
        </x:is>
      </x:c>
    </x:row>
    <x:row r="14">
      <x:c r="A14" s="6" t="inlineStr">
        <x:is>
          <x:t xml:space="preserve">segments</x:t>
        </x:is>
      </x:c>
      <x:c r="B14" s="4" t="inlineStr">
        <x:is>
          <x:t xml:space="preserve">фундаментальный</x:t>
        </x:is>
      </x:c>
      <x:c r="C14" s="4" t="inlineStr">
        <x:is>
          <x:t xml:space="preserve">сразу</x:t>
        </x:is>
      </x:c>
      <x:c r="D14" s="4" t="inlineStr">
        <x:is>
          <x:t xml:space="preserve">общие локаторы и spine</x:t>
        </x:is>
      </x:c>
      <x:c r="E14" s="4" t="inlineStr">
        <x:is>
          <x:t xml:space="preserve">да</x:t>
        </x:is>
      </x:c>
      <x:c r="F14" s="4" t="inlineStr">
        <x:is>
          <x:t xml:space="preserve">если текст режется на обозримые единицы [n]</x:t>
        </x:is>
      </x:c>
    </x:row>
    <x:row r="15">
      <x:c r="A15" s="6" t="inlineStr">
        <x:is>
          <x:t xml:space="preserve">nodes</x:t>
        </x:is>
      </x:c>
      <x:c r="B15" s="4" t="inlineStr">
        <x:is>
          <x:t xml:space="preserve">фундаментальный</x:t>
        </x:is>
      </x:c>
      <x:c r="C15" s="4" t="inlineStr">
        <x:is>
          <x:t xml:space="preserve">сразу</x:t>
        </x:is>
      </x:c>
      <x:c r="D15" s="4" t="inlineStr">
        <x:is>
          <x:t xml:space="preserve">устойчивые сущности, символы, понятия</x:t>
        </x:is>
      </x:c>
      <x:c r="E15" s="4" t="inlineStr">
        <x:is>
          <x:t xml:space="preserve">да</x:t>
        </x:is>
      </x:c>
      <x:c r="F15" s="4" t="inlineStr">
        <x:is>
          <x:t xml:space="preserve">если смысл должен переиспользоваться</x:t>
        </x:is>
      </x:c>
    </x:row>
    <x:row r="16">
      <x:c r="A16" s="6" t="inlineStr">
        <x:is>
          <x:t xml:space="preserve">event_state_nodes</x:t>
        </x:is>
      </x:c>
      <x:c r="B16" s="4" t="inlineStr">
        <x:is>
          <x:t xml:space="preserve">фундаментальный</x:t>
        </x:is>
      </x:c>
      <x:c r="C16" s="4" t="inlineStr">
        <x:is>
          <x:t xml:space="preserve">сразу</x:t>
        </x:is>
      </x:c>
      <x:c r="D16" s="4" t="inlineStr">
        <x:is>
          <x:t xml:space="preserve">события и состояния, где тройка тесна</x:t>
        </x:is>
      </x:c>
      <x:c r="E16" s="4" t="inlineStr">
        <x:is>
          <x:t xml:space="preserve">да</x:t>
        </x:is>
      </x:c>
      <x:c r="F16" s="4" t="inlineStr">
        <x:is>
          <x:t xml:space="preserve">если есть длительность / множественные участники / условность</x:t>
        </x:is>
      </x:c>
    </x:row>
    <x:row r="17">
      <x:c r="A17" s="6" t="inlineStr">
        <x:is>
          <x:t xml:space="preserve">edges</x:t>
        </x:is>
      </x:c>
      <x:c r="B17" s="4" t="inlineStr">
        <x:is>
          <x:t xml:space="preserve">фундаментальный</x:t>
        </x:is>
      </x:c>
      <x:c r="C17" s="4" t="inlineStr">
        <x:is>
          <x:t xml:space="preserve">сразу</x:t>
        </x:is>
      </x:c>
      <x:c r="D17" s="4" t="inlineStr">
        <x:is>
          <x:t xml:space="preserve">нормализованные связи</x:t>
        </x:is>
      </x:c>
      <x:c r="E17" s="4" t="inlineStr">
        <x:is>
          <x:t xml:space="preserve">да</x:t>
        </x:is>
      </x:c>
      <x:c r="F17" s="4" t="inlineStr">
        <x:is>
          <x:t xml:space="preserve">если есть хотя бы 1 нормализованный узел</x:t>
        </x:is>
      </x:c>
    </x:row>
    <x:row r="18">
      <x:c r="A18" s="6" t="inlineStr">
        <x:is>
          <x:t xml:space="preserve">translation_tensions</x:t>
        </x:is>
      </x:c>
      <x:c r="B18" s="4" t="inlineStr">
        <x:is>
          <x:t xml:space="preserve">фундаментальный+</x:t>
        </x:is>
      </x:c>
      <x:c r="C18" s="4" t="inlineStr">
        <x:is>
          <x:t xml:space="preserve">сразу, но скупо</x:t>
        </x:is>
      </x:c>
      <x:c r="D18" s="4" t="inlineStr">
        <x:is>
          <x:t xml:space="preserve">нагрузочные дрейфы между witness-слоями</x:t>
        </x:is>
      </x:c>
      <x:c r="E18" s="4" t="inlineStr">
        <x:is>
          <x:t xml:space="preserve">да</x:t>
        </x:is>
      </x:c>
      <x:c r="F18" s="4" t="inlineStr">
        <x:is>
          <x:t xml:space="preserve">только если дрейф философски значим</x:t>
        </x:is>
      </x:c>
    </x:row>
    <x:row r="19">
      <x:c r="A19" s="6" t="inlineStr">
        <x:is>
          <x:t xml:space="preserve">witness_glosses</x:t>
        </x:is>
      </x:c>
      <x:c r="B19" s="4" t="inlineStr">
        <x:is>
          <x:t xml:space="preserve">вторая волна</x:t>
        </x:is>
      </x:c>
      <x:c r="C19" s="4" t="inlineStr">
        <x:is>
          <x:t xml:space="preserve">по мере сгущения</x:t>
        </x:is>
      </x:c>
      <x:c r="D19" s="4" t="inlineStr">
        <x:is>
          <x:t xml:space="preserve">лексическая поверхность witness-а</x:t>
        </x:is>
      </x:c>
      <x:c r="E19" s="4" t="inlineStr">
        <x:is>
          <x:t xml:space="preserve">нет</x:t>
        </x:is>
      </x:c>
      <x:c r="F19" s="4" t="inlineStr">
        <x:is>
          <x:t xml:space="preserve">если важно не растворить genoss / вкушал / delighted in</x:t>
        </x:is>
      </x:c>
    </x:row>
    <x:row r="20">
      <x:c r="A20" s="6" t="inlineStr">
        <x:is>
          <x:t xml:space="preserve">principles</x:t>
        </x:is>
      </x:c>
      <x:c r="B20" s="4" t="inlineStr">
        <x:is>
          <x:t xml:space="preserve">вторая волна</x:t>
        </x:is>
      </x:c>
      <x:c r="C20" s="4" t="inlineStr">
        <x:is>
          <x:t xml:space="preserve">по мере сгущения</x:t>
        </x:is>
      </x:c>
      <x:c r="D20" s="4" t="inlineStr">
        <x:is>
          <x:t xml:space="preserve">снятые принципы и authored commentary</x:t>
        </x:is>
      </x:c>
      <x:c r="E20" s="4" t="inlineStr">
        <x:is>
          <x:t xml:space="preserve">нет</x:t>
        </x:is>
      </x:c>
      <x:c r="F20" s="4" t="inlineStr">
        <x:is>
          <x:t xml:space="preserve">если узел уже читается как principle, а не только факт</x:t>
        </x:is>
      </x:c>
    </x:row>
    <x:row r="21">
      <x:c r="A21" s="6" t="inlineStr">
        <x:is>
          <x:t xml:space="preserve">analogy_nodes</x:t>
        </x:is>
      </x:c>
      <x:c r="B21" s="4" t="inlineStr">
        <x:is>
          <x:t xml:space="preserve">третья волна</x:t>
        </x:is>
      </x:c>
      <x:c r="C21" s="4" t="inlineStr">
        <x:is>
          <x:t xml:space="preserve">когда накопятся повторяющиеся аналогии</x:t>
        </x:is>
      </x:c>
      <x:c r="D21" s="4" t="inlineStr">
        <x:is>
          <x:t xml:space="preserve">отдельные образные мосты</x:t>
        </x:is>
      </x:c>
      <x:c r="E21" s="4" t="inlineStr">
        <x:is>
          <x:t xml:space="preserve">нет</x:t>
        </x:is>
      </x:c>
      <x:c r="F21" s="4" t="inlineStr">
        <x:is>
          <x:t xml:space="preserve">если аналогии становятся запросопригодными</x:t>
        </x:is>
      </x:c>
    </x:row>
    <x:row r="22">
      <x:c r="A22" s="6" t="inlineStr">
        <x:is>
          <x:t xml:space="preserve">reasoning_paths</x:t>
        </x:is>
      </x:c>
      <x:c r="B22" s="4" t="inlineStr">
        <x:is>
          <x:t xml:space="preserve">третья волна</x:t>
        </x:is>
      </x:c>
      <x:c r="C22" s="4" t="inlineStr">
        <x:is>
          <x:t xml:space="preserve">когда появляются вопросы почему/как</x:t>
        </x:is>
      </x:c>
      <x:c r="D22" s="4" t="inlineStr">
        <x:is>
          <x:t xml:space="preserve">маршруты рассуждения</x:t>
        </x:is>
      </x:c>
      <x:c r="E22" s="4" t="inlineStr">
        <x:is>
          <x:t xml:space="preserve">нет</x:t>
        </x:is>
      </x:c>
      <x:c r="F22" s="4" t="inlineStr">
        <x:is>
          <x:t xml:space="preserve">если нужен объяснимый путь от вопроса к ответу</x:t>
        </x:is>
      </x:c>
    </x:row>
    <x:row r="23">
      <x:c r="A23" s="6" t="inlineStr">
        <x:is>
          <x:t xml:space="preserve">lineage_links</x:t>
        </x:is>
      </x:c>
      <x:c r="B23" s="4" t="inlineStr">
        <x:is>
          <x:t xml:space="preserve">третья волна</x:t>
        </x:is>
      </x:c>
      <x:c r="C23" s="4" t="inlineStr">
        <x:is>
          <x:t xml:space="preserve">когда начинают множиться связи с другими работами</x:t>
        </x:is>
      </x:c>
      <x:c r="D23" s="4" t="inlineStr">
        <x:is>
          <x:t xml:space="preserve">связи с другими текстами и традициями</x:t>
        </x:is>
      </x:c>
      <x:c r="E23" s="4" t="inlineStr">
        <x:is>
          <x:t xml:space="preserve">нет</x:t>
        </x:is>
      </x:c>
      <x:c r="F23" s="4" t="inlineStr">
        <x:is>
          <x:t xml:space="preserve">если cross-work связи повторяются</x:t>
        </x:is>
      </x:c>
    </x:row>
    <x:row r="24">
      <x:c r="A24" s="6" t="inlineStr">
        <x:is>
          <x:t xml:space="preserve">agent_witnesses</x:t>
        </x:is>
      </x:c>
      <x:c r="B24" s="4" t="inlineStr">
        <x:is>
          <x:t xml:space="preserve">третья волна</x:t>
        </x:is>
      </x:c>
      <x:c r="C24" s="4" t="inlineStr">
        <x:is>
          <x:t xml:space="preserve">когда подключаются агенты</x:t>
        </x:is>
      </x:c>
      <x:c r="D24" s="4" t="inlineStr">
        <x:is>
          <x:t xml:space="preserve">явно типизированные agent-generated witness-слои</x:t>
        </x:is>
      </x:c>
      <x:c r="E24" s="4" t="inlineStr">
        <x:is>
          <x:t xml:space="preserve">нет</x:t>
        </x:is>
      </x:c>
      <x:c r="F24" s="4" t="inlineStr">
        <x:is>
          <x:t xml:space="preserve">если агент пишет перевод/bridge/extraction</x:t>
        </x:is>
      </x:c>
    </x:row>
    <x:row r="25">
      <x:c r="A25" s="6" t="inlineStr">
        <x:is>
          <x:t xml:space="preserve">query_views</x:t>
        </x:is>
      </x:c>
      <x:c r="B25" s="4" t="inlineStr">
        <x:is>
          <x:t xml:space="preserve">третья волна</x:t>
        </x:is>
      </x:c>
      <x:c r="C25" s="4" t="inlineStr">
        <x:is>
          <x:t xml:space="preserve">когда повторяются retrieval-сценарии</x:t>
        </x:is>
      </x:c>
      <x:c r="D25" s="4" t="inlineStr">
        <x:is>
          <x:t xml:space="preserve">спроецированные таблицы под конкретные запросы</x:t>
        </x:is>
      </x:c>
      <x:c r="E25" s="4" t="inlineStr">
        <x:is>
          <x:t xml:space="preserve">нет</x:t>
        </x:is>
      </x:c>
      <x:c r="F25" s="4" t="inlineStr">
        <x:is>
          <x:t xml:space="preserve">если одни и те же joins повторяются</x:t>
        </x:is>
      </x:c>
    </x:row>
    <x:row r="27">
      <x:c r="A27" s="7" t="inlineStr">
        <x:is>
          <x:t xml:space="preserve">Правила роста</x:t>
        </x:is>
      </x:c>
    </x:row>
    <x:row r="28">
      <x:c r="A28" s="5" t="inlineStr">
        <x:is>
          <x:t xml:space="preserve">№</x:t>
        </x:is>
      </x:c>
      <x:c r="B28" s="5" t="inlineStr">
        <x:is>
          <x:t xml:space="preserve">Правило</x:t>
        </x:is>
      </x:c>
    </x:row>
    <x:row r="29">
      <x:c r="A29" s="6" t="inlineStr">
        <x:is>
          <x:t xml:space="preserve">1</x:t>
        </x:is>
      </x:c>
      <x:c r="B29" s="4" t="inlineStr">
        <x:is>
          <x:t xml:space="preserve">Один смысл -&gt; один node_id. Не плодить языковые копии одного и того же узла.</x:t>
        </x:is>
      </x:c>
    </x:row>
    <x:row r="30">
      <x:c r="A30" s="6" t="inlineStr">
        <x:is>
          <x:t xml:space="preserve">2</x:t>
        </x:is>
      </x:c>
      <x:c r="B30" s="4" t="inlineStr">
        <x:is>
          <x:t xml:space="preserve">witness ≠ layer. Witness отвечает за происхождение текста, layer отвечает за режим утверждения.</x:t>
        </x:is>
      </x:c>
    </x:row>
    <x:row r="31">
      <x:c r="A31" s="6" t="inlineStr">
        <x:is>
          <x:t xml:space="preserve">3</x:t>
        </x:is>
      </x:c>
      <x:c r="B31" s="4" t="inlineStr">
        <x:is>
          <x:t xml:space="preserve">Комментарии и принципы не маскируются под source fact.</x:t>
        </x:is>
      </x:c>
    </x:row>
    <x:row r="32">
      <x:c r="A32" s="6" t="inlineStr">
        <x:is>
          <x:t xml:space="preserve">4</x:t>
        </x:is>
      </x:c>
      <x:c r="B32" s="4" t="inlineStr">
        <x:is>
          <x:t xml:space="preserve">Event/state node создается, когда плоская тройка теряет важную структуру.</x:t>
        </x:is>
      </x:c>
    </x:row>
    <x:row r="33">
      <x:c r="A33" s="6" t="inlineStr">
        <x:is>
          <x:t xml:space="preserve">5</x:t>
        </x:is>
      </x:c>
      <x:c r="B33" s="4" t="inlineStr">
        <x:is>
          <x:t xml:space="preserve">Translation tensions фиксируются только там, где дрейф реально меняет философский вес.</x:t>
        </x:is>
      </x:c>
    </x:row>
    <x:row r="34">
      <x:c r="A34" s="6" t="inlineStr">
        <x:is>
          <x:t xml:space="preserve">6</x:t>
        </x:is>
      </x:c>
      <x:c r="B34" s="4" t="inlineStr">
        <x:is>
          <x:t xml:space="preserve">Новая таблица оправдана, если открывает новый тип запроса или снимает путаницу.</x:t>
        </x:is>
      </x:c>
    </x:row>
    <x:row r="36">
      <x:c r="A36" s="8" t="inlineStr">
        <x:is>
          <x:t xml:space="preserve">Новые листы</x:t>
        </x:is>
      </x:c>
      <x:c r="B36" s="4" t="inlineStr">
        <x:is>
          <x:t xml:space="preserve">13_Проектная_схема и 14_Порядок_прохода расширяют стартовый пакет до рабочего проектного каркаса.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dac060cb2c6d4074"/>
    <x:tablePart xmlns:r="http://schemas.openxmlformats.org/officeDocument/2006/relationships" r:id="Rd0efc0549eb849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5" customWidth="1"/>
    <x:col min="3" max="3" width="35" customWidth="1"/>
    <x:col min="4" max="4" width="30" customWidth="1"/>
    <x:col min="5" max="5" width="40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Общий словарь ключей и связей</x:t>
        </x:is>
      </x:c>
    </x:row>
    <x:row r="2" ht="20" customHeight="1">
      <x:c r="A2" s="2" t="inlineStr">
        <x:is>
          <x:t xml:space="preserve">Эти поля будут склеивать таблицы друг с другом</x:t>
        </x:is>
      </x:c>
    </x:row>
    <x:row r="4">
      <x:c r="A4" s="5" t="inlineStr">
        <x:is>
          <x:t xml:space="preserve">Ключ</x:t>
        </x:is>
      </x:c>
      <x:c r="B4" s="5" t="inlineStr">
        <x:is>
          <x:t xml:space="preserve">Где живёт</x:t>
        </x:is>
      </x:c>
      <x:c r="C4" s="5" t="inlineStr">
        <x:is>
          <x:t xml:space="preserve">Что означает</x:t>
        </x:is>
      </x:c>
      <x:c r="D4" s="5" t="inlineStr">
        <x:is>
          <x:t xml:space="preserve">Пример</x:t>
        </x:is>
      </x:c>
      <x:c r="E4" s="5" t="inlineStr">
        <x:is>
          <x:t xml:space="preserve">Правило</x:t>
        </x:is>
      </x:c>
    </x:row>
    <x:row r="5">
      <x:c r="A5" s="6" t="inlineStr">
        <x:is>
          <x:t xml:space="preserve">source_secondary</x:t>
        </x:is>
      </x:c>
      <x:c r="B5" s="4" t="inlineStr">
        <x:is>
          <x:t xml:space="preserve">corpus_map / segments / edges / principles</x:t>
        </x:is>
      </x:c>
      <x:c r="C5" s="4" t="inlineStr">
        <x:is>
          <x:t xml:space="preserve">человеческий вторичный адрес внутри произведения</x:t>
        </x:is>
      </x:c>
      <x:c r="D5" s="4" t="inlineStr">
        <x:is>
          <x:t xml:space="preserve">1,1,1,8</x:t>
        </x:is>
      </x:c>
      <x:c r="E5" s="4" t="inlineStr">
        <x:is>
          <x:t xml:space="preserve">стабилен; не переиспользуется для другого места</x:t>
        </x:is>
      </x:c>
    </x:row>
    <x:row r="6">
      <x:c r="A6" s="6" t="inlineStr">
        <x:is>
          <x:t xml:space="preserve">[n]</x:t>
        </x:is>
      </x:c>
      <x:c r="B6" s="4" t="inlineStr">
        <x:is>
          <x:t xml:space="preserve">segments / anchors</x:t>
        </x:is>
      </x:c>
      <x:c r="C6" s="4" t="inlineStr">
        <x:is>
          <x:t xml:space="preserve">локальный номер абзаца внутри bounded route</x:t>
        </x:is>
      </x:c>
      <x:c r="D6" s="4" t="inlineStr">
        <x:is>
          <x:t xml:space="preserve">[8]</x:t>
        </x:is>
      </x:c>
      <x:c r="E6" s="4" t="inlineStr">
        <x:is>
          <x:t xml:space="preserve">общий для de / ru / en</x:t>
        </x:is>
      </x:c>
    </x:row>
    <x:row r="7">
      <x:c r="A7" s="6" t="inlineStr">
        <x:is>
          <x:t xml:space="preserve">segment_id</x:t>
        </x:is>
      </x:c>
      <x:c r="B7" s="4" t="inlineStr">
        <x:is>
          <x:t xml:space="preserve">segments и дальше почти везде</x:t>
        </x:is>
      </x:c>
      <x:c r="C7" s="4" t="inlineStr">
        <x:is>
          <x:t xml:space="preserve">машинно-стабильный идентификатор сегмента</x:t>
        </x:is>
      </x:c>
      <x:c r="D7" s="4" t="inlineStr">
        <x:is>
          <x:t xml:space="preserve">seg.1.1.1.8</x:t>
        </x:is>
      </x:c>
      <x:c r="E7" s="4" t="inlineStr">
        <x:is>
          <x:t xml:space="preserve">один на общий paragraph-aligned segment</x:t>
        </x:is>
      </x:c>
    </x:row>
    <x:row r="8">
      <x:c r="A8" s="6" t="inlineStr">
        <x:is>
          <x:t xml:space="preserve">witness_id</x:t>
        </x:is>
      </x:c>
      <x:c r="B8" s="4" t="inlineStr">
        <x:is>
          <x:t xml:space="preserve">witnesses / glosses / tensions</x:t>
        </x:is>
      </x:c>
      <x:c r="C8" s="4" t="inlineStr">
        <x:is>
          <x:t xml:space="preserve">какой текстовый свидетель говорит</x:t>
        </x:is>
      </x:c>
      <x:c r="D8" s="4" t="inlineStr">
        <x:is>
          <x:t xml:space="preserve">w.ru.dionysus.translation.v1</x:t>
        </x:is>
      </x:c>
      <x:c r="E8" s="4" t="inlineStr">
        <x:is>
          <x:t xml:space="preserve">всегда явный provenance</x:t>
        </x:is>
      </x:c>
    </x:row>
    <x:row r="9">
      <x:c r="A9" s="6" t="inlineStr">
        <x:is>
          <x:t xml:space="preserve">node_id</x:t>
        </x:is>
      </x:c>
      <x:c r="B9" s="4" t="inlineStr">
        <x:is>
          <x:t xml:space="preserve">nodes / edges / principles</x:t>
        </x:is>
      </x:c>
      <x:c r="C9" s="4" t="inlineStr">
        <x:is>
          <x:t xml:space="preserve">устойчивый смысловой узел</x:t>
        </x:is>
      </x:c>
      <x:c r="D9" s="4" t="inlineStr">
        <x:is>
          <x:t xml:space="preserve">n.underworld</x:t>
        </x:is>
      </x:c>
      <x:c r="E9" s="4" t="inlineStr">
        <x:is>
          <x:t xml:space="preserve">не зависит от языка поверхности</x:t>
        </x:is>
      </x:c>
    </x:row>
    <x:row r="10">
      <x:c r="A10" s="6" t="inlineStr">
        <x:is>
          <x:t xml:space="preserve">es_id</x:t>
        </x:is>
      </x:c>
      <x:c r="B10" s="4" t="inlineStr">
        <x:is>
          <x:t xml:space="preserve">event_state_nodes / edges</x:t>
        </x:is>
      </x:c>
      <x:c r="C10" s="4" t="inlineStr">
        <x:is>
          <x:t xml:space="preserve">узел события или состояния</x:t>
        </x:is>
      </x:c>
      <x:c r="D10" s="4" t="inlineStr">
        <x:is>
          <x:t xml:space="preserve">ev.p7_8.descent_named_as_go_under</x:t>
        </x:is>
      </x:c>
      <x:c r="E10" s="4" t="inlineStr">
        <x:is>
          <x:t xml:space="preserve">создается, когда тройка тесна</x:t>
        </x:is>
      </x:c>
    </x:row>
    <x:row r="11">
      <x:c r="A11" s="6" t="inlineStr">
        <x:is>
          <x:t xml:space="preserve">edge_id</x:t>
        </x:is>
      </x:c>
      <x:c r="B11" s="4" t="inlineStr">
        <x:is>
          <x:t xml:space="preserve">edges</x:t>
        </x:is>
      </x:c>
      <x:c r="C11" s="4" t="inlineStr">
        <x:is>
          <x:t xml:space="preserve">одна нормализованная связь</x:t>
        </x:is>
      </x:c>
      <x:c r="D11" s="4" t="inlineStr">
        <x:is>
          <x:t xml:space="preserve">e63</x:t>
        </x:is>
      </x:c>
      <x:c r="E11" s="4" t="inlineStr">
        <x:is>
          <x:t xml:space="preserve">минимальная единица графовой связи</x:t>
        </x:is>
      </x:c>
    </x:row>
    <x:row r="12">
      <x:c r="A12" s="6" t="inlineStr">
        <x:is>
          <x:t xml:space="preserve">layer</x:t>
        </x:is>
      </x:c>
      <x:c r="B12" s="4" t="inlineStr">
        <x:is>
          <x:t xml:space="preserve">nodes / edges / principles</x:t>
        </x:is>
      </x:c>
      <x:c r="C12" s="4" t="inlineStr">
        <x:is>
          <x:t xml:space="preserve">режим утверждения</x:t>
        </x:is>
      </x:c>
      <x:c r="D12" s="4" t="inlineStr">
        <x:is>
          <x:t xml:space="preserve">source_linked / distilled_principle / authored_commentary</x:t>
        </x:is>
      </x:c>
      <x:c r="E12" s="4" t="inlineStr">
        <x:is>
          <x:t xml:space="preserve">не смешивать с witness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e33a20c7b104a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26" customWidth="1"/>
    <x:col min="7" max="7" width="26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Схема: corpus_map</x:t>
        </x:is>
      </x:c>
    </x:row>
    <x:row r="2" ht="20" customHeight="1">
      <x:c r="A2" s="2" t="inlineStr">
        <x:is>
          <x:t xml:space="preserve">Адресное дерево корпуса. На этом слое ты можешь пройти хоть всю книгу.</x:t>
        </x:is>
      </x:c>
    </x:row>
    <x:row r="4">
      <x:c r="A4" s="3" t="inlineStr">
        <x:is>
          <x:t xml:space="preserve">Таблица</x:t>
        </x:is>
      </x:c>
      <x:c r="B4" s="4" t="inlineStr">
        <x:is>
          <x:t xml:space="preserve">corpus_map</x:t>
        </x:is>
      </x:c>
    </x:row>
    <x:row r="5">
      <x:c r="A5" s="3" t="inlineStr">
        <x:is>
          <x:t xml:space="preserve">Волна</x:t>
        </x:is>
      </x:c>
      <x:c r="B5" s="4" t="inlineStr">
        <x:is>
          <x:t xml:space="preserve">фундаментальный</x:t>
        </x:is>
      </x:c>
    </x:row>
    <x:row r="6">
      <x:c r="A6" s="3" t="inlineStr">
        <x:is>
          <x:t xml:space="preserve">Назначение</x:t>
        </x:is>
      </x:c>
      <x:c r="B6" s="4" t="inlineStr">
        <x:is>
          <x:t xml:space="preserve">дать каждому текстовому месту стабильный адрес и порядок обхода</x:t>
        </x:is>
      </x:c>
    </x:row>
    <x:row r="7">
      <x:c r="A7" s="3" t="inlineStr">
        <x:is>
          <x:t xml:space="preserve">Обязательность</x:t>
        </x:is>
      </x:c>
      <x:c r="B7" s="4" t="inlineStr">
        <x:is>
          <x:t xml:space="preserve">заводить сразу</x:t>
        </x:is>
      </x:c>
    </x:row>
    <x:row r="8">
      <x:c r="A8" s="3" t="inlineStr">
        <x:is>
          <x:t xml:space="preserve">Первичный ключ</x:t>
        </x:is>
      </x:c>
      <x:c r="B8" s="4" t="inlineStr">
        <x:is>
          <x:t xml:space="preserve">corpus_row_id или составной ключ source_secondary</x:t>
        </x:is>
      </x:c>
    </x:row>
    <x:row r="9">
      <x:c r="A9" s="3" t="inlineStr">
        <x:is>
          <x:t xml:space="preserve">Зависит от</x:t>
        </x:is>
      </x:c>
      <x:c r="B9" s="4" t="inlineStr">
        <x:is>
          <x:t xml:space="preserve">ни от чего, это корневая карта</x:t>
        </x:is>
      </x:c>
    </x:row>
    <x:row r="10">
      <x:c r="A10" s="3" t="inlineStr">
        <x:is>
          <x:t xml:space="preserve">Когда спавнить</x:t>
        </x:is>
      </x:c>
      <x:c r="B10" s="4" t="inlineStr">
        <x:is>
          <x:t xml:space="preserve">никогда не заменяется; только расширяется новыми строками</x:t>
        </x:is>
      </x:c>
    </x:row>
    <x:row r="11">
      <x:c r="A11" s="3" t="inlineStr">
        <x:is>
          <x:t xml:space="preserve">Правило заполнения</x:t>
        </x:is>
      </x:c>
      <x:c r="B11" s="4" t="inlineStr">
        <x:is>
          <x:t xml:space="preserve">одна строка = одно адресуемое место корпуса; не придумывать скрытых уровней</x:t>
        </x:is>
      </x:c>
    </x:row>
    <x:row r="13">
      <x:c r="A13" s="7" t="inlineStr">
        <x:is>
          <x:t xml:space="preserve">Поля</x:t>
        </x:is>
      </x:c>
    </x:row>
    <x:row r="14">
      <x:c r="A14" s="5" t="inlineStr">
        <x:is>
          <x:t xml:space="preserve">Поле</x:t>
        </x:is>
      </x:c>
      <x:c r="B14" s="5" t="inlineStr">
        <x:is>
          <x:t xml:space="preserve">Обязат.</x:t>
        </x:is>
      </x:c>
      <x:c r="C14" s="5" t="inlineStr">
        <x:is>
          <x:t xml:space="preserve">Тип</x:t>
        </x:is>
      </x:c>
      <x:c r="D14" s="5" t="inlineStr">
        <x:is>
          <x:t xml:space="preserve">Описание</x:t>
        </x:is>
      </x:c>
      <x:c r="E14" s="5" t="inlineStr">
        <x:is>
          <x:t xml:space="preserve">Пример</x:t>
        </x:is>
      </x:c>
      <x:c r="F14" s="5" t="inlineStr">
        <x:is>
          <x:t xml:space="preserve">Правило</x:t>
        </x:is>
      </x:c>
    </x:row>
    <x:row r="15">
      <x:c r="A15" s="6" t="inlineStr">
        <x:is>
          <x:t xml:space="preserve">corpus_row_id</x:t>
        </x:is>
      </x:c>
      <x:c r="B15" s="4" t="inlineStr">
        <x:is>
          <x:t xml:space="preserve">да</x:t>
        </x:is>
      </x:c>
      <x:c r="C15" s="4" t="inlineStr">
        <x:is>
          <x:t xml:space="preserve">string</x:t>
        </x:is>
      </x:c>
      <x:c r="D15" s="4" t="inlineStr">
        <x:is>
          <x:t xml:space="preserve">технический id строки карты</x:t>
        </x:is>
      </x:c>
      <x:c r="E15" s="4" t="inlineStr">
        <x:is>
          <x:t xml:space="preserve">cm.1.1.1.8</x:t>
        </x:is>
      </x:c>
      <x:c r="F15" s="4" t="inlineStr">
        <x:is>
          <x:t xml:space="preserve">стабилен</x:t>
        </x:is>
      </x:c>
    </x:row>
    <x:row r="16">
      <x:c r="A16" s="6" t="inlineStr">
        <x:is>
          <x:t xml:space="preserve">work_id</x:t>
        </x:is>
      </x:c>
      <x:c r="B16" s="4" t="inlineStr">
        <x:is>
          <x:t xml:space="preserve">да</x:t>
        </x:is>
      </x:c>
      <x:c r="C16" s="4" t="inlineStr">
        <x:is>
          <x:t xml:space="preserve">string</x:t>
        </x:is>
      </x:c>
      <x:c r="D16" s="4" t="inlineStr">
        <x:is>
          <x:t xml:space="preserve">id произведения</x:t>
        </x:is>
      </x:c>
      <x:c r="E16" s="4" t="inlineStr">
        <x:is>
          <x:t xml:space="preserve">thus-spoke-zarathustra</x:t>
        </x:is>
      </x:c>
      <x:c r="F16" s="4" t="inlineStr">
        <x:is>
          <x:t xml:space="preserve">один на книгу/корпус</x:t>
        </x:is>
      </x:c>
    </x:row>
    <x:row r="17">
      <x:c r="A17" s="6" t="inlineStr">
        <x:is>
          <x:t xml:space="preserve">part_no</x:t>
        </x:is>
      </x:c>
      <x:c r="B17" s="4" t="inlineStr">
        <x:is>
          <x:t xml:space="preserve">нет</x:t>
        </x:is>
      </x:c>
      <x:c r="C17" s="4" t="inlineStr">
        <x:is>
          <x:t xml:space="preserve">integer</x:t>
        </x:is>
      </x:c>
      <x:c r="D17" s="4" t="inlineStr">
        <x:is>
          <x:t xml:space="preserve">номер части</x:t>
        </x:is>
      </x:c>
      <x:c r="E17" s="4" t="inlineStr">
        <x:is>
          <x:t xml:space="preserve">1</x:t>
        </x:is>
      </x:c>
      <x:c r="F17" s="4" t="inlineStr">
        <x:is>
          <x:t xml:space="preserve">если уровень есть</x:t>
        </x:is>
      </x:c>
    </x:row>
    <x:row r="18">
      <x:c r="A18" s="6" t="inlineStr">
        <x:is>
          <x:t xml:space="preserve">chapter_no</x:t>
        </x:is>
      </x:c>
      <x:c r="B18" s="4" t="inlineStr">
        <x:is>
          <x:t xml:space="preserve">нет</x:t>
        </x:is>
      </x:c>
      <x:c r="C18" s="4" t="inlineStr">
        <x:is>
          <x:t xml:space="preserve">integer</x:t>
        </x:is>
      </x:c>
      <x:c r="D18" s="4" t="inlineStr">
        <x:is>
          <x:t xml:space="preserve">номер главы</x:t>
        </x:is>
      </x:c>
      <x:c r="E18" s="4" t="inlineStr">
        <x:is>
          <x:t xml:space="preserve">1</x:t>
        </x:is>
      </x:c>
      <x:c r="F18" s="4" t="inlineStr">
        <x:is>
          <x:t xml:space="preserve">если уровень есть</x:t>
        </x:is>
      </x:c>
    </x:row>
    <x:row r="19">
      <x:c r="A19" s="6" t="inlineStr">
        <x:is>
          <x:t xml:space="preserve">subchapter_no</x:t>
        </x:is>
      </x:c>
      <x:c r="B19" s="4" t="inlineStr">
        <x:is>
          <x:t xml:space="preserve">нет</x:t>
        </x:is>
      </x:c>
      <x:c r="C19" s="4" t="inlineStr">
        <x:is>
          <x:t xml:space="preserve">integer</x:t>
        </x:is>
      </x:c>
      <x:c r="D19" s="4" t="inlineStr">
        <x:is>
          <x:t xml:space="preserve">номер части главы</x:t>
        </x:is>
      </x:c>
      <x:c r="E19" s="4" t="inlineStr">
        <x:is>
          <x:t xml:space="preserve">1</x:t>
        </x:is>
      </x:c>
      <x:c r="F19" s="4" t="inlineStr">
        <x:is>
          <x:t xml:space="preserve">для твоего secondary</x:t>
        </x:is>
      </x:c>
    </x:row>
    <x:row r="20">
      <x:c r="A20" s="6" t="inlineStr">
        <x:is>
          <x:t xml:space="preserve">paragraph_no</x:t>
        </x:is>
      </x:c>
      <x:c r="B20" s="4" t="inlineStr">
        <x:is>
          <x:t xml:space="preserve">нет</x:t>
        </x:is>
      </x:c>
      <x:c r="C20" s="4" t="inlineStr">
        <x:is>
          <x:t xml:space="preserve">integer</x:t>
        </x:is>
      </x:c>
      <x:c r="D20" s="4" t="inlineStr">
        <x:is>
          <x:t xml:space="preserve">номер абзаца</x:t>
        </x:is>
      </x:c>
      <x:c r="E20" s="4" t="inlineStr">
        <x:is>
          <x:t xml:space="preserve">8</x:t>
        </x:is>
      </x:c>
      <x:c r="F20" s="4" t="inlineStr">
        <x:is>
          <x:t xml:space="preserve">для paragraph spine</x:t>
        </x:is>
      </x:c>
    </x:row>
    <x:row r="21">
      <x:c r="A21" s="6" t="inlineStr">
        <x:is>
          <x:t xml:space="preserve">source_secondary</x:t>
        </x:is>
      </x:c>
      <x:c r="B21" s="4" t="inlineStr">
        <x:is>
          <x:t xml:space="preserve">да</x:t>
        </x:is>
      </x:c>
      <x:c r="C21" s="4" t="inlineStr">
        <x:is>
          <x:t xml:space="preserve">string</x:t>
        </x:is>
      </x:c>
      <x:c r="D21" s="4" t="inlineStr">
        <x:is>
          <x:t xml:space="preserve">человеческий вторичный адрес</x:t>
        </x:is>
      </x:c>
      <x:c r="E21" s="4" t="inlineStr">
        <x:is>
          <x:t xml:space="preserve">1,1,1,8</x:t>
        </x:is>
      </x:c>
      <x:c r="F21" s="4" t="inlineStr">
        <x:is>
          <x:t xml:space="preserve">главный внешний якорь</x:t>
        </x:is>
      </x:c>
    </x:row>
    <x:row r="22">
      <x:c r="A22" s="6" t="inlineStr">
        <x:is>
          <x:t xml:space="preserve">sort_key</x:t>
        </x:is>
      </x:c>
      <x:c r="B22" s="4" t="inlineStr">
        <x:is>
          <x:t xml:space="preserve">да</x:t>
        </x:is>
      </x:c>
      <x:c r="C22" s="4" t="inlineStr">
        <x:is>
          <x:t xml:space="preserve">integer</x:t>
        </x:is>
      </x:c>
      <x:c r="D22" s="4" t="inlineStr">
        <x:is>
          <x:t xml:space="preserve">порядок обхода</x:t>
        </x:is>
      </x:c>
      <x:c r="E22" s="4" t="inlineStr">
        <x:is>
          <x:t xml:space="preserve">8</x:t>
        </x:is>
      </x:c>
      <x:c r="F22" s="4" t="inlineStr">
        <x:is>
          <x:t xml:space="preserve">строгий порядок</x:t>
        </x:is>
      </x:c>
    </x:row>
    <x:row r="23">
      <x:c r="A23" s="6" t="inlineStr">
        <x:is>
          <x:t xml:space="preserve">title_ru</x:t>
        </x:is>
      </x:c>
      <x:c r="B23" s="4" t="inlineStr">
        <x:is>
          <x:t xml:space="preserve">нет</x:t>
        </x:is>
      </x:c>
      <x:c r="C23" s="4" t="inlineStr">
        <x:is>
          <x:t xml:space="preserve">string</x:t>
        </x:is>
      </x:c>
      <x:c r="D23" s="4" t="inlineStr">
        <x:is>
          <x:t xml:space="preserve">рабочее имя места</x:t>
        </x:is>
      </x:c>
      <x:c r="E23" s="4" t="inlineStr">
        <x:is>
          <x:t xml:space="preserve">untergehen как выбранный спуск</x:t>
        </x:is>
      </x:c>
      <x:c r="F23" s="4" t="inlineStr">
        <x:is>
          <x:t xml:space="preserve">не обязательно</x:t>
        </x:is>
      </x:c>
    </x:row>
    <x:row r="24">
      <x:c r="A24" s="6" t="inlineStr">
        <x:is>
          <x:t xml:space="preserve">notes</x:t>
        </x:is>
      </x:c>
      <x:c r="B24" s="4" t="inlineStr">
        <x:is>
          <x:t xml:space="preserve">нет</x:t>
        </x:is>
      </x:c>
      <x:c r="C24" s="4" t="inlineStr">
        <x:is>
          <x:t xml:space="preserve">text</x:t>
        </x:is>
      </x:c>
      <x:c r="D24" s="4" t="inlineStr">
        <x:is>
          <x:t xml:space="preserve">служебная заметка</x:t>
        </x:is>
      </x:c>
      <x:c r="E24" s="4" t="inlineStr">
        <x:is>
          <x:t xml:space="preserve">абзац пролога</x:t>
        </x:is>
      </x:c>
      <x:c r="F24" s="4" t="inlineStr">
        <x:is>
          <x:t xml:space="preserve">без толкования</x:t>
        </x:is>
      </x:c>
    </x:row>
    <x:row r="26">
      <x:c r="A26" s="7" t="inlineStr">
        <x:is>
          <x:t xml:space="preserve">Минимальный пример строки</x:t>
        </x:is>
      </x:c>
    </x:row>
    <x:row r="27">
      <x:c r="A27" s="5" t="inlineStr">
        <x:is>
          <x:t xml:space="preserve">corpus_row_id</x:t>
        </x:is>
      </x:c>
      <x:c r="B27" s="5" t="inlineStr">
        <x:is>
          <x:t xml:space="preserve">work_id</x:t>
        </x:is>
      </x:c>
      <x:c r="C27" s="5" t="inlineStr">
        <x:is>
          <x:t xml:space="preserve">source_secondary</x:t>
        </x:is>
      </x:c>
      <x:c r="D27" s="5" t="inlineStr">
        <x:is>
          <x:t xml:space="preserve">sort_key</x:t>
        </x:is>
      </x:c>
      <x:c r="E27" s="5" t="inlineStr">
        <x:is>
          <x:t xml:space="preserve">title_ru</x:t>
        </x:is>
      </x:c>
      <x:c r="F27" s="5" t="inlineStr">
        <x:is>
          <x:t xml:space="preserve">notes</x:t>
        </x:is>
      </x:c>
    </x:row>
    <x:row r="28">
      <x:c r="A28" s="6" t="inlineStr">
        <x:is>
          <x:t xml:space="preserve">cm.1.1.1.8</x:t>
        </x:is>
      </x:c>
      <x:c r="B28" s="4" t="inlineStr">
        <x:is>
          <x:t xml:space="preserve">thus-spoke-zarathustra</x:t>
        </x:is>
      </x:c>
      <x:c r="C28" s="4" t="inlineStr">
        <x:is>
          <x:t xml:space="preserve">1,1,1,8</x:t>
        </x:is>
      </x:c>
      <x:c r="D28" s="4" t="inlineStr">
        <x:is>
          <x:t xml:space="preserve">8</x:t>
        </x:is>
      </x:c>
      <x:c r="E28" s="4" t="inlineStr">
        <x:is>
          <x:t xml:space="preserve">untergehen как выбранный спуск</x:t>
        </x:is>
      </x:c>
      <x:c r="F28" s="4" t="inlineStr">
        <x:is>
          <x:t xml:space="preserve">локатор пролога [8]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5b1262728c2a4ebd"/>
    <x:tablePart xmlns:r="http://schemas.openxmlformats.org/officeDocument/2006/relationships" r:id="R8534ae2900d947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26" customWidth="1"/>
    <x:col min="7" max="7" width="26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Схема: witnesses</x:t>
        </x:is>
      </x:c>
    </x:row>
    <x:row r="2" ht="20" customHeight="1">
      <x:c r="A2" s="2" t="inlineStr">
        <x:is>
          <x:t xml:space="preserve">Кто говорит и в каком статусе.</x:t>
        </x:is>
      </x:c>
    </x:row>
    <x:row r="4">
      <x:c r="A4" s="3" t="inlineStr">
        <x:is>
          <x:t xml:space="preserve">Таблица</x:t>
        </x:is>
      </x:c>
      <x:c r="B4" s="4" t="inlineStr">
        <x:is>
          <x:t xml:space="preserve">witnesses</x:t>
        </x:is>
      </x:c>
    </x:row>
    <x:row r="5">
      <x:c r="A5" s="3" t="inlineStr">
        <x:is>
          <x:t xml:space="preserve">Волна</x:t>
        </x:is>
      </x:c>
      <x:c r="B5" s="4" t="inlineStr">
        <x:is>
          <x:t xml:space="preserve">фундаментальный</x:t>
        </x:is>
      </x:c>
    </x:row>
    <x:row r="6">
      <x:c r="A6" s="3" t="inlineStr">
        <x:is>
          <x:t xml:space="preserve">Назначение</x:t>
        </x:is>
      </x:c>
      <x:c r="B6" s="4" t="inlineStr">
        <x:is>
          <x:t xml:space="preserve">держать provenance явным и не путать canonical source с переводом, bridge или agent layer</x:t>
        </x:is>
      </x:c>
    </x:row>
    <x:row r="7">
      <x:c r="A7" s="3" t="inlineStr">
        <x:is>
          <x:t xml:space="preserve">Обязательность</x:t>
        </x:is>
      </x:c>
      <x:c r="B7" s="4" t="inlineStr">
        <x:is>
          <x:t xml:space="preserve">заводить сразу</x:t>
        </x:is>
      </x:c>
    </x:row>
    <x:row r="8">
      <x:c r="A8" s="3" t="inlineStr">
        <x:is>
          <x:t xml:space="preserve">Первичный ключ</x:t>
        </x:is>
      </x:c>
      <x:c r="B8" s="4" t="inlineStr">
        <x:is>
          <x:t xml:space="preserve">witness_id</x:t>
        </x:is>
      </x:c>
    </x:row>
    <x:row r="9">
      <x:c r="A9" s="3" t="inlineStr">
        <x:is>
          <x:t xml:space="preserve">Зависит от</x:t>
        </x:is>
      </x:c>
      <x:c r="B9" s="4" t="inlineStr">
        <x:is>
          <x:t xml:space="preserve">на corpus_map только логически</x:t>
        </x:is>
      </x:c>
    </x:row>
    <x:row r="10">
      <x:c r="A10" s="3" t="inlineStr">
        <x:is>
          <x:t xml:space="preserve">Когда спавнить</x:t>
        </x:is>
      </x:c>
      <x:c r="B10" s="4" t="inlineStr">
        <x:is>
          <x:t xml:space="preserve">новая строка на каждый новый witness-слой</x:t>
        </x:is>
      </x:c>
    </x:row>
    <x:row r="11">
      <x:c r="A11" s="3" t="inlineStr">
        <x:is>
          <x:t xml:space="preserve">Правило заполнения</x:t>
        </x:is>
      </x:c>
      <x:c r="B11" s="4" t="inlineStr">
        <x:is>
          <x:t xml:space="preserve">одна строка = один текстовый свидетель; роль и authority_level обязательны</x:t>
        </x:is>
      </x:c>
    </x:row>
    <x:row r="13">
      <x:c r="A13" s="7" t="inlineStr">
        <x:is>
          <x:t xml:space="preserve">Поля</x:t>
        </x:is>
      </x:c>
    </x:row>
    <x:row r="14">
      <x:c r="A14" s="5" t="inlineStr">
        <x:is>
          <x:t xml:space="preserve">Поле</x:t>
        </x:is>
      </x:c>
      <x:c r="B14" s="5" t="inlineStr">
        <x:is>
          <x:t xml:space="preserve">Обязат.</x:t>
        </x:is>
      </x:c>
      <x:c r="C14" s="5" t="inlineStr">
        <x:is>
          <x:t xml:space="preserve">Тип</x:t>
        </x:is>
      </x:c>
      <x:c r="D14" s="5" t="inlineStr">
        <x:is>
          <x:t xml:space="preserve">Описание</x:t>
        </x:is>
      </x:c>
      <x:c r="E14" s="5" t="inlineStr">
        <x:is>
          <x:t xml:space="preserve">Пример</x:t>
        </x:is>
      </x:c>
      <x:c r="F14" s="5" t="inlineStr">
        <x:is>
          <x:t xml:space="preserve">Правило</x:t>
        </x:is>
      </x:c>
    </x:row>
    <x:row r="15">
      <x:c r="A15" s="6" t="inlineStr">
        <x:is>
          <x:t xml:space="preserve">witness_id</x:t>
        </x:is>
      </x:c>
      <x:c r="B15" s="4" t="inlineStr">
        <x:is>
          <x:t xml:space="preserve">да</x:t>
        </x:is>
      </x:c>
      <x:c r="C15" s="4" t="inlineStr">
        <x:is>
          <x:t xml:space="preserve">string</x:t>
        </x:is>
      </x:c>
      <x:c r="D15" s="4" t="inlineStr">
        <x:is>
          <x:t xml:space="preserve">стабильный id witness-а</x:t>
        </x:is>
      </x:c>
      <x:c r="E15" s="4" t="inlineStr">
        <x:is>
          <x:t xml:space="preserve">w.ru.dionysus.translation.v1</x:t>
        </x:is>
      </x:c>
      <x:c r="F15" s="4" t="inlineStr">
        <x:is>
          <x:t xml:space="preserve">не менять без причины</x:t>
        </x:is>
      </x:c>
    </x:row>
    <x:row r="16">
      <x:c r="A16" s="6" t="inlineStr">
        <x:is>
          <x:t xml:space="preserve">language</x:t>
        </x:is>
      </x:c>
      <x:c r="B16" s="4" t="inlineStr">
        <x:is>
          <x:t xml:space="preserve">да</x:t>
        </x:is>
      </x:c>
      <x:c r="C16" s="4" t="inlineStr">
        <x:is>
          <x:t xml:space="preserve">string</x:t>
        </x:is>
      </x:c>
      <x:c r="D16" s="4" t="inlineStr">
        <x:is>
          <x:t xml:space="preserve">язык witness-а</x:t>
        </x:is>
      </x:c>
      <x:c r="E16" s="4" t="inlineStr">
        <x:is>
          <x:t xml:space="preserve">ru</x:t>
        </x:is>
      </x:c>
      <x:c r="F16" s="4" t="inlineStr">
        <x:is>
          <x:t xml:space="preserve">ISO или короткий код</x:t>
        </x:is>
      </x:c>
    </x:row>
    <x:row r="17">
      <x:c r="A17" s="6" t="inlineStr">
        <x:is>
          <x:t xml:space="preserve">role</x:t>
        </x:is>
      </x:c>
      <x:c r="B17" s="4" t="inlineStr">
        <x:is>
          <x:t xml:space="preserve">да</x:t>
        </x:is>
      </x:c>
      <x:c r="C17" s="4" t="inlineStr">
        <x:is>
          <x:t xml:space="preserve">enum</x:t>
        </x:is>
      </x:c>
      <x:c r="D17" s="4" t="inlineStr">
        <x:is>
          <x:t xml:space="preserve">canonical_source / working_translation / bridge_translation / agent_generated_witness</x:t>
        </x:is>
      </x:c>
      <x:c r="E17" s="4" t="inlineStr">
        <x:is>
          <x:t xml:space="preserve">working_translation</x:t>
        </x:is>
      </x:c>
      <x:c r="F17" s="4" t="inlineStr">
        <x:is>
          <x:t xml:space="preserve">роль важнее названия</x:t>
        </x:is>
      </x:c>
    </x:row>
    <x:row r="18">
      <x:c r="A18" s="6" t="inlineStr">
        <x:is>
          <x:t xml:space="preserve">authority_level</x:t>
        </x:is>
      </x:c>
      <x:c r="B18" s="4" t="inlineStr">
        <x:is>
          <x:t xml:space="preserve">да</x:t>
        </x:is>
      </x:c>
      <x:c r="C18" s="4" t="inlineStr">
        <x:is>
          <x:t xml:space="preserve">enum</x:t>
        </x:is>
      </x:c>
      <x:c r="D18" s="4" t="inlineStr">
        <x:is>
          <x:t xml:space="preserve">canonical / derived_human / derived_noncanonical</x:t>
        </x:is>
      </x:c>
      <x:c r="E18" s="4" t="inlineStr">
        <x:is>
          <x:t xml:space="preserve">derived_human</x:t>
        </x:is>
      </x:c>
      <x:c r="F18" s="4" t="inlineStr">
        <x:is>
          <x:t xml:space="preserve">не завышать авторитет</x:t>
        </x:is>
      </x:c>
    </x:row>
    <x:row r="19">
      <x:c r="A19" s="6" t="inlineStr">
        <x:is>
          <x:t xml:space="preserve">author_or_translator</x:t>
        </x:is>
      </x:c>
      <x:c r="B19" s="4" t="inlineStr">
        <x:is>
          <x:t xml:space="preserve">нет</x:t>
        </x:is>
      </x:c>
      <x:c r="C19" s="4" t="inlineStr">
        <x:is>
          <x:t xml:space="preserve">string</x:t>
        </x:is>
      </x:c>
      <x:c r="D19" s="4" t="inlineStr">
        <x:is>
          <x:t xml:space="preserve">автор или переводчик</x:t>
        </x:is>
      </x:c>
      <x:c r="E19" s="4" t="inlineStr">
        <x:is>
          <x:t xml:space="preserve">Dionysus</x:t>
        </x:is>
      </x:c>
      <x:c r="F19" s="4" t="inlineStr">
        <x:is>
          <x:t xml:space="preserve">если уместно</x:t>
        </x:is>
      </x:c>
    </x:row>
    <x:row r="20">
      <x:c r="A20" s="6" t="inlineStr">
        <x:is>
          <x:t xml:space="preserve">based_on</x:t>
        </x:is>
      </x:c>
      <x:c r="B20" s="4" t="inlineStr">
        <x:is>
          <x:t xml:space="preserve">нет</x:t>
        </x:is>
      </x:c>
      <x:c r="C20" s="4" t="inlineStr">
        <x:is>
          <x:t xml:space="preserve">string</x:t>
        </x:is>
      </x:c>
      <x:c r="D20" s="4" t="inlineStr">
        <x:is>
          <x:t xml:space="preserve">на каком witness основан</x:t>
        </x:is>
      </x:c>
      <x:c r="E20" s="4" t="inlineStr">
        <x:is>
          <x:t xml:space="preserve">w.de.nietzsche.1883.facsimile</x:t>
        </x:is>
      </x:c>
      <x:c r="F20" s="4" t="inlineStr">
        <x:is>
          <x:t xml:space="preserve">для derived слоёв</x:t>
        </x:is>
      </x:c>
    </x:row>
    <x:row r="21">
      <x:c r="A21" s="6" t="inlineStr">
        <x:is>
          <x:t xml:space="preserve">edition_or_source</x:t>
        </x:is>
      </x:c>
      <x:c r="B21" s="4" t="inlineStr">
        <x:is>
          <x:t xml:space="preserve">нет</x:t>
        </x:is>
      </x:c>
      <x:c r="C21" s="4" t="inlineStr">
        <x:is>
          <x:t xml:space="preserve">string</x:t>
        </x:is>
      </x:c>
      <x:c r="D21" s="4" t="inlineStr">
        <x:is>
          <x:t xml:space="preserve">редакция или источник</x:t>
        </x:is>
      </x:c>
      <x:c r="E21" s="4" t="inlineStr">
        <x:is>
          <x:t xml:space="preserve">facsimile-backed 1883</x:t>
        </x:is>
      </x:c>
      <x:c r="F21" s="4" t="inlineStr">
        <x:is>
          <x:t xml:space="preserve">видимая provenance</x:t>
        </x:is>
      </x:c>
    </x:row>
    <x:row r="22">
      <x:c r="A22" s="6" t="inlineStr">
        <x:is>
          <x:t xml:space="preserve">publication_year</x:t>
        </x:is>
      </x:c>
      <x:c r="B22" s="4" t="inlineStr">
        <x:is>
          <x:t xml:space="preserve">нет</x:t>
        </x:is>
      </x:c>
      <x:c r="C22" s="4" t="inlineStr">
        <x:is>
          <x:t xml:space="preserve">integer</x:t>
        </x:is>
      </x:c>
      <x:c r="D22" s="4" t="inlineStr">
        <x:is>
          <x:t xml:space="preserve">год</x:t>
        </x:is>
      </x:c>
      <x:c r="E22" s="4" t="inlineStr">
        <x:is>
          <x:t xml:space="preserve">1883</x:t>
        </x:is>
      </x:c>
      <x:c r="F22" s="4" t="inlineStr">
        <x:is>
          <x:t xml:space="preserve">если известен</x:t>
        </x:is>
      </x:c>
    </x:row>
    <x:row r="23">
      <x:c r="A23" s="6" t="inlineStr">
        <x:is>
          <x:t xml:space="preserve">normalization_note</x:t>
        </x:is>
      </x:c>
      <x:c r="B23" s="4" t="inlineStr">
        <x:is>
          <x:t xml:space="preserve">нет</x:t>
        </x:is>
      </x:c>
      <x:c r="C23" s="4" t="inlineStr">
        <x:is>
          <x:t xml:space="preserve">text</x:t>
        </x:is>
      </x:c>
      <x:c r="D23" s="4" t="inlineStr">
        <x:is>
          <x:t xml:space="preserve">что нормализовано</x:t>
        </x:is>
      </x:c>
      <x:c r="E23" s="4" t="inlineStr">
        <x:is>
          <x:t xml:space="preserve">line-break restoration pending</x:t>
        </x:is>
      </x:c>
      <x:c r="F23" s="4" t="inlineStr">
        <x:is>
          <x:t xml:space="preserve">важно для lineation</x:t>
        </x:is>
      </x:c>
    </x:row>
    <x:row r="24">
      <x:c r="A24" s="6" t="inlineStr">
        <x:is>
          <x:t xml:space="preserve">active</x:t>
        </x:is>
      </x:c>
      <x:c r="B24" s="4" t="inlineStr">
        <x:is>
          <x:t xml:space="preserve">да</x:t>
        </x:is>
      </x:c>
      <x:c r="C24" s="4" t="inlineStr">
        <x:is>
          <x:t xml:space="preserve">boolean</x:t>
        </x:is>
      </x:c>
      <x:c r="D24" s="4" t="inlineStr">
        <x:is>
          <x:t xml:space="preserve">используется ли в текущем проходе</x:t>
        </x:is>
      </x:c>
      <x:c r="E24" s="4" t="inlineStr">
        <x:is>
          <x:t xml:space="preserve">TRUE</x:t>
        </x:is>
      </x:c>
      <x:c r="F24" s="4" t="inlineStr">
        <x:is>
          <x:t xml:space="preserve">можно отключать не удаляя</x:t>
        </x:is>
      </x:c>
    </x:row>
    <x:row r="26">
      <x:c r="A26" s="7" t="inlineStr">
        <x:is>
          <x:t xml:space="preserve">Минимальный пример строки</x:t>
        </x:is>
      </x:c>
    </x:row>
    <x:row r="27">
      <x:c r="A27" s="5" t="inlineStr">
        <x:is>
          <x:t xml:space="preserve">witness_id</x:t>
        </x:is>
      </x:c>
      <x:c r="B27" s="5" t="inlineStr">
        <x:is>
          <x:t xml:space="preserve">language</x:t>
        </x:is>
      </x:c>
      <x:c r="C27" s="5" t="inlineStr">
        <x:is>
          <x:t xml:space="preserve">role</x:t>
        </x:is>
      </x:c>
      <x:c r="D27" s="5" t="inlineStr">
        <x:is>
          <x:t xml:space="preserve">authority_level</x:t>
        </x:is>
      </x:c>
      <x:c r="E27" s="5" t="inlineStr">
        <x:is>
          <x:t xml:space="preserve">based_on</x:t>
        </x:is>
      </x:c>
      <x:c r="F27" s="5" t="inlineStr">
        <x:is>
          <x:t xml:space="preserve">author_or_translator</x:t>
        </x:is>
      </x:c>
      <x:c r="G27" s="5" t="inlineStr">
        <x:is>
          <x:t xml:space="preserve">normalization_note</x:t>
        </x:is>
      </x:c>
    </x:row>
    <x:row r="28">
      <x:c r="A28" s="6" t="inlineStr">
        <x:is>
          <x:t xml:space="preserve">w.ru.dionysus.translation.v1</x:t>
        </x:is>
      </x:c>
      <x:c r="B28" s="4" t="inlineStr">
        <x:is>
          <x:t xml:space="preserve">ru</x:t>
        </x:is>
      </x:c>
      <x:c r="C28" s="4" t="inlineStr">
        <x:is>
          <x:t xml:space="preserve">working_translation</x:t>
        </x:is>
      </x:c>
      <x:c r="D28" s="4" t="inlineStr">
        <x:is>
          <x:t xml:space="preserve">derived_human</x:t>
        </x:is>
      </x:c>
      <x:c r="E28" s="4" t="inlineStr">
        <x:is>
          <x:t xml:space="preserve">w.de.nietzsche.1883.facsimile</x:t>
        </x:is>
      </x:c>
      <x:c r="F28" s="4" t="inlineStr">
        <x:is>
          <x:t xml:space="preserve">Dionysus</x:t>
        </x:is>
      </x:c>
      <x:c r="G28" s="4" t="inlineStr">
        <x:is>
          <x:t xml:space="preserve">русские переносы значимы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de627e76aa174fa5"/>
    <x:tablePart xmlns:r="http://schemas.openxmlformats.org/officeDocument/2006/relationships" r:id="Ra7ef4b5499134d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26" customWidth="1"/>
    <x:col min="7" max="7" width="26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Схема: segments</x:t>
        </x:is>
      </x:c>
    </x:row>
    <x:row r="2" ht="20" customHeight="1">
      <x:c r="A2" s="2" t="inlineStr">
        <x:is>
          <x:t xml:space="preserve">Shared paragraph-aligned spine и anchors.</x:t>
        </x:is>
      </x:c>
    </x:row>
    <x:row r="4">
      <x:c r="A4" s="3" t="inlineStr">
        <x:is>
          <x:t xml:space="preserve">Таблица</x:t>
        </x:is>
      </x:c>
      <x:c r="B4" s="4" t="inlineStr">
        <x:is>
          <x:t xml:space="preserve">segments</x:t>
        </x:is>
      </x:c>
    </x:row>
    <x:row r="5">
      <x:c r="A5" s="3" t="inlineStr">
        <x:is>
          <x:t xml:space="preserve">Волна</x:t>
        </x:is>
      </x:c>
      <x:c r="B5" s="4" t="inlineStr">
        <x:is>
          <x:t xml:space="preserve">фундаментальный</x:t>
        </x:is>
      </x:c>
    </x:row>
    <x:row r="6">
      <x:c r="A6" s="3" t="inlineStr">
        <x:is>
          <x:t xml:space="preserve">Назначение</x:t>
        </x:is>
      </x:c>
      <x:c r="B6" s="4" t="inlineStr">
        <x:is>
          <x:t xml:space="preserve">дать общий локатор для de / ru / en и всех derived слоёв</x:t>
        </x:is>
      </x:c>
    </x:row>
    <x:row r="7">
      <x:c r="A7" s="3" t="inlineStr">
        <x:is>
          <x:t xml:space="preserve">Обязательность</x:t>
        </x:is>
      </x:c>
      <x:c r="B7" s="4" t="inlineStr">
        <x:is>
          <x:t xml:space="preserve">заводить сразу</x:t>
        </x:is>
      </x:c>
    </x:row>
    <x:row r="8">
      <x:c r="A8" s="3" t="inlineStr">
        <x:is>
          <x:t xml:space="preserve">Первичный ключ</x:t>
        </x:is>
      </x:c>
      <x:c r="B8" s="4" t="inlineStr">
        <x:is>
          <x:t xml:space="preserve">segment_id</x:t>
        </x:is>
      </x:c>
    </x:row>
    <x:row r="9">
      <x:c r="A9" s="3" t="inlineStr">
        <x:is>
          <x:t xml:space="preserve">Зависит от</x:t>
        </x:is>
      </x:c>
      <x:c r="B9" s="4" t="inlineStr">
        <x:is>
          <x:t xml:space="preserve">corpus_map</x:t>
        </x:is>
      </x:c>
    </x:row>
    <x:row r="10">
      <x:c r="A10" s="3" t="inlineStr">
        <x:is>
          <x:t xml:space="preserve">Когда спавнить</x:t>
        </x:is>
      </x:c>
      <x:c r="B10" s="4" t="inlineStr">
        <x:is>
          <x:t xml:space="preserve">новая строка на каждый segment из bounded route</x:t>
        </x:is>
      </x:c>
    </x:row>
    <x:row r="11">
      <x:c r="A11" s="3" t="inlineStr">
        <x:is>
          <x:t xml:space="preserve">Правило заполнения</x:t>
        </x:is>
      </x:c>
      <x:c r="B11" s="4" t="inlineStr">
        <x:is>
          <x:t xml:space="preserve">одна строка = один общий сегмент; witness-specific тексты живут в witness surface, не здесь</x:t>
        </x:is>
      </x:c>
    </x:row>
    <x:row r="13">
      <x:c r="A13" s="7" t="inlineStr">
        <x:is>
          <x:t xml:space="preserve">Поля</x:t>
        </x:is>
      </x:c>
    </x:row>
    <x:row r="14">
      <x:c r="A14" s="5" t="inlineStr">
        <x:is>
          <x:t xml:space="preserve">Поле</x:t>
        </x:is>
      </x:c>
      <x:c r="B14" s="5" t="inlineStr">
        <x:is>
          <x:t xml:space="preserve">Обязат.</x:t>
        </x:is>
      </x:c>
      <x:c r="C14" s="5" t="inlineStr">
        <x:is>
          <x:t xml:space="preserve">Тип</x:t>
        </x:is>
      </x:c>
      <x:c r="D14" s="5" t="inlineStr">
        <x:is>
          <x:t xml:space="preserve">Описание</x:t>
        </x:is>
      </x:c>
      <x:c r="E14" s="5" t="inlineStr">
        <x:is>
          <x:t xml:space="preserve">Пример</x:t>
        </x:is>
      </x:c>
      <x:c r="F14" s="5" t="inlineStr">
        <x:is>
          <x:t xml:space="preserve">Правило</x:t>
        </x:is>
      </x:c>
    </x:row>
    <x:row r="15">
      <x:c r="A15" s="6" t="inlineStr">
        <x:is>
          <x:t xml:space="preserve">segment_id</x:t>
        </x:is>
      </x:c>
      <x:c r="B15" s="4" t="inlineStr">
        <x:is>
          <x:t xml:space="preserve">да</x:t>
        </x:is>
      </x:c>
      <x:c r="C15" s="4" t="inlineStr">
        <x:is>
          <x:t xml:space="preserve">string</x:t>
        </x:is>
      </x:c>
      <x:c r="D15" s="4" t="inlineStr">
        <x:is>
          <x:t xml:space="preserve">стабильный id сегмента</x:t>
        </x:is>
      </x:c>
      <x:c r="E15" s="4" t="inlineStr">
        <x:is>
          <x:t xml:space="preserve">seg.1.1.1.8</x:t>
        </x:is>
      </x:c>
      <x:c r="F15" s="4" t="inlineStr">
        <x:is>
          <x:t xml:space="preserve">один на общий segment</x:t>
        </x:is>
      </x:c>
    </x:row>
    <x:row r="16">
      <x:c r="A16" s="6" t="inlineStr">
        <x:is>
          <x:t xml:space="preserve">source_secondary</x:t>
        </x:is>
      </x:c>
      <x:c r="B16" s="4" t="inlineStr">
        <x:is>
          <x:t xml:space="preserve">да</x:t>
        </x:is>
      </x:c>
      <x:c r="C16" s="4" t="inlineStr">
        <x:is>
          <x:t xml:space="preserve">string</x:t>
        </x:is>
      </x:c>
      <x:c r="D16" s="4" t="inlineStr">
        <x:is>
          <x:t xml:space="preserve">вторичный адрес</x:t>
        </x:is>
      </x:c>
      <x:c r="E16" s="4" t="inlineStr">
        <x:is>
          <x:t xml:space="preserve">1,1,1,8</x:t>
        </x:is>
      </x:c>
      <x:c r="F16" s="4" t="inlineStr">
        <x:is>
          <x:t xml:space="preserve">сквозной anchor</x:t>
        </x:is>
      </x:c>
    </x:row>
    <x:row r="17">
      <x:c r="A17" s="6" t="inlineStr">
        <x:is>
          <x:t xml:space="preserve">paragraph_locator</x:t>
        </x:is>
      </x:c>
      <x:c r="B17" s="4" t="inlineStr">
        <x:is>
          <x:t xml:space="preserve">да</x:t>
        </x:is>
      </x:c>
      <x:c r="C17" s="4" t="inlineStr">
        <x:is>
          <x:t xml:space="preserve">string</x:t>
        </x:is>
      </x:c>
      <x:c r="D17" s="4" t="inlineStr">
        <x:is>
          <x:t xml:space="preserve">локатор вида [n]</x:t>
        </x:is>
      </x:c>
      <x:c r="E17" s="4" t="inlineStr">
        <x:is>
          <x:t xml:space="preserve">[8]</x:t>
        </x:is>
      </x:c>
      <x:c r="F17" s="4" t="inlineStr">
        <x:is>
          <x:t xml:space="preserve">общий для свидетелей</x:t>
        </x:is>
      </x:c>
    </x:row>
    <x:row r="18">
      <x:c r="A18" s="6" t="inlineStr">
        <x:is>
          <x:t xml:space="preserve">sort_key</x:t>
        </x:is>
      </x:c>
      <x:c r="B18" s="4" t="inlineStr">
        <x:is>
          <x:t xml:space="preserve">да</x:t>
        </x:is>
      </x:c>
      <x:c r="C18" s="4" t="inlineStr">
        <x:is>
          <x:t xml:space="preserve">integer</x:t>
        </x:is>
      </x:c>
      <x:c r="D18" s="4" t="inlineStr">
        <x:is>
          <x:t xml:space="preserve">порядок в route</x:t>
        </x:is>
      </x:c>
      <x:c r="E18" s="4" t="inlineStr">
        <x:is>
          <x:t xml:space="preserve">8</x:t>
        </x:is>
      </x:c>
      <x:c r="F18" s="4" t="inlineStr">
        <x:is>
          <x:t xml:space="preserve">строгий обход</x:t>
        </x:is>
      </x:c>
    </x:row>
    <x:row r="19">
      <x:c r="A19" s="6" t="inlineStr">
        <x:is>
          <x:t xml:space="preserve">line_span</x:t>
        </x:is>
      </x:c>
      <x:c r="B19" s="4" t="inlineStr">
        <x:is>
          <x:t xml:space="preserve">нет</x:t>
        </x:is>
      </x:c>
      <x:c r="C19" s="4" t="inlineStr">
        <x:is>
          <x:t xml:space="preserve">string</x:t>
        </x:is>
      </x:c>
      <x:c r="D19" s="4" t="inlineStr">
        <x:is>
          <x:t xml:space="preserve">диапазон строк в donor file</x:t>
        </x:is>
      </x:c>
      <x:c r="E19" s="4" t="inlineStr">
        <x:is>
          <x:t xml:space="preserve">L155-L169</x:t>
        </x:is>
      </x:c>
      <x:c r="F19" s="4" t="inlineStr">
        <x:is>
          <x:t xml:space="preserve">полезно для file-level привязки</x:t>
        </x:is>
      </x:c>
    </x:row>
    <x:row r="20">
      <x:c r="A20" s="6" t="inlineStr">
        <x:is>
          <x:t xml:space="preserve">witness_scope</x:t>
        </x:is>
      </x:c>
      <x:c r="B20" s="4" t="inlineStr">
        <x:is>
          <x:t xml:space="preserve">да</x:t>
        </x:is>
      </x:c>
      <x:c r="C20" s="4" t="inlineStr">
        <x:is>
          <x:t xml:space="preserve">string</x:t>
        </x:is>
      </x:c>
      <x:c r="D20" s="4" t="inlineStr">
        <x:is>
          <x:t xml:space="preserve">какие witness-слои разделяют сегмент</x:t>
        </x:is>
      </x:c>
      <x:c r="E20" s="4" t="inlineStr">
        <x:is>
          <x:t xml:space="preserve">de+ru+en</x:t>
        </x:is>
      </x:c>
      <x:c r="F20" s="4" t="inlineStr">
        <x:is>
          <x:t xml:space="preserve">обычно общий</x:t>
        </x:is>
      </x:c>
    </x:row>
    <x:row r="21">
      <x:c r="A21" s="6" t="inlineStr">
        <x:is>
          <x:t xml:space="preserve">cluster_id</x:t>
        </x:is>
      </x:c>
      <x:c r="B21" s="4" t="inlineStr">
        <x:is>
          <x:t xml:space="preserve">нет</x:t>
        </x:is>
      </x:c>
      <x:c r="C21" s="4" t="inlineStr">
        <x:is>
          <x:t xml:space="preserve">string</x:t>
        </x:is>
      </x:c>
      <x:c r="D21" s="4" t="inlineStr">
        <x:is>
          <x:t xml:space="preserve">составной кластер для multi-anchor логики</x:t>
        </x:is>
      </x:c>
      <x:c r="E21" s="4" t="inlineStr">
        <x:is>
          <x:t xml:space="preserve">cluster.descent_going_under</x:t>
        </x:is>
      </x:c>
      <x:c r="F21" s="4" t="inlineStr">
        <x:is>
          <x:t xml:space="preserve">если нужен</x:t>
        </x:is>
      </x:c>
    </x:row>
    <x:row r="22">
      <x:c r="A22" s="6" t="inlineStr">
        <x:is>
          <x:t xml:space="preserve">title_ru</x:t>
        </x:is>
      </x:c>
      <x:c r="B22" s="4" t="inlineStr">
        <x:is>
          <x:t xml:space="preserve">нет</x:t>
        </x:is>
      </x:c>
      <x:c r="C22" s="4" t="inlineStr">
        <x:is>
          <x:t xml:space="preserve">string</x:t>
        </x:is>
      </x:c>
      <x:c r="D22" s="4" t="inlineStr">
        <x:is>
          <x:t xml:space="preserve">рабочее имя сегмента</x:t>
        </x:is>
      </x:c>
      <x:c r="E22" s="4" t="inlineStr">
        <x:is>
          <x:t xml:space="preserve">go-under-to-humans</x:t>
        </x:is>
      </x:c>
      <x:c r="F22" s="4" t="inlineStr">
        <x:is>
          <x:t xml:space="preserve">для навигации</x:t>
        </x:is>
      </x:c>
    </x:row>
    <x:row r="23">
      <x:c r="A23" s="6" t="inlineStr">
        <x:is>
          <x:t xml:space="preserve">notes</x:t>
        </x:is>
      </x:c>
      <x:c r="B23" s="4" t="inlineStr">
        <x:is>
          <x:t xml:space="preserve">нет</x:t>
        </x:is>
      </x:c>
      <x:c r="C23" s="4" t="inlineStr">
        <x:is>
          <x:t xml:space="preserve">text</x:t>
        </x:is>
      </x:c>
      <x:c r="D23" s="4" t="inlineStr">
        <x:is>
          <x:t xml:space="preserve">технич. комментарий</x:t>
        </x:is>
      </x:c>
      <x:c r="E23" s="4" t="inlineStr">
        <x:is>
          <x:t xml:space="preserve">переходит в reasoning cluster</x:t>
        </x:is>
      </x:c>
      <x:c r="F23" s="4" t="inlineStr">
        <x:is>
          <x:t xml:space="preserve">без философской инфляции</x:t>
        </x:is>
      </x:c>
    </x:row>
    <x:row r="25">
      <x:c r="A25" s="7" t="inlineStr">
        <x:is>
          <x:t xml:space="preserve">Минимальный пример строки</x:t>
        </x:is>
      </x:c>
    </x:row>
    <x:row r="26">
      <x:c r="A26" s="5" t="inlineStr">
        <x:is>
          <x:t xml:space="preserve">segment_id</x:t>
        </x:is>
      </x:c>
      <x:c r="B26" s="5" t="inlineStr">
        <x:is>
          <x:t xml:space="preserve">source_secondary</x:t>
        </x:is>
      </x:c>
      <x:c r="C26" s="5" t="inlineStr">
        <x:is>
          <x:t xml:space="preserve">paragraph_locator</x:t>
        </x:is>
      </x:c>
      <x:c r="D26" s="5" t="inlineStr">
        <x:is>
          <x:t xml:space="preserve">sort_key</x:t>
        </x:is>
      </x:c>
      <x:c r="E26" s="5" t="inlineStr">
        <x:is>
          <x:t xml:space="preserve">witness_scope</x:t>
        </x:is>
      </x:c>
      <x:c r="F26" s="5" t="inlineStr">
        <x:is>
          <x:t xml:space="preserve">title_ru</x:t>
        </x:is>
      </x:c>
    </x:row>
    <x:row r="27">
      <x:c r="A27" s="6" t="inlineStr">
        <x:is>
          <x:t xml:space="preserve">seg.1.1.1.8</x:t>
        </x:is>
      </x:c>
      <x:c r="B27" s="4" t="inlineStr">
        <x:is>
          <x:t xml:space="preserve">1,1,1,8</x:t>
        </x:is>
      </x:c>
      <x:c r="C27" s="4" t="inlineStr">
        <x:is>
          <x:t xml:space="preserve">[8]</x:t>
        </x:is>
      </x:c>
      <x:c r="D27" s="4" t="inlineStr">
        <x:is>
          <x:t xml:space="preserve">8</x:t>
        </x:is>
      </x:c>
      <x:c r="E27" s="4" t="inlineStr">
        <x:is>
          <x:t xml:space="preserve">de+ru+en</x:t>
        </x:is>
      </x:c>
      <x:c r="F27" s="4" t="inlineStr">
        <x:is>
          <x:t xml:space="preserve">go-under-to-humans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b7248b1a1d554234"/>
    <x:tablePart xmlns:r="http://schemas.openxmlformats.org/officeDocument/2006/relationships" r:id="R1a291ee7ad6d4d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26" customWidth="1"/>
    <x:col min="7" max="7" width="26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Схема: nodes</x:t>
        </x:is>
      </x:c>
    </x:row>
    <x:row r="2" ht="20" customHeight="1">
      <x:c r="A2" s="2" t="inlineStr">
        <x:is>
          <x:t xml:space="preserve">Устойчивые сущности, символы, понятия, места.</x:t>
        </x:is>
      </x:c>
    </x:row>
    <x:row r="4">
      <x:c r="A4" s="3" t="inlineStr">
        <x:is>
          <x:t xml:space="preserve">Таблица</x:t>
        </x:is>
      </x:c>
      <x:c r="B4" s="4" t="inlineStr">
        <x:is>
          <x:t xml:space="preserve">nodes</x:t>
        </x:is>
      </x:c>
    </x:row>
    <x:row r="5">
      <x:c r="A5" s="3" t="inlineStr">
        <x:is>
          <x:t xml:space="preserve">Волна</x:t>
        </x:is>
      </x:c>
      <x:c r="B5" s="4" t="inlineStr">
        <x:is>
          <x:t xml:space="preserve">фундаментальный</x:t>
        </x:is>
      </x:c>
    </x:row>
    <x:row r="6">
      <x:c r="A6" s="3" t="inlineStr">
        <x:is>
          <x:t xml:space="preserve">Назначение</x:t>
        </x:is>
      </x:c>
      <x:c r="B6" s="4" t="inlineStr">
        <x:is>
          <x:t xml:space="preserve">хранить переиспользуемые значения, а не фразы witness-поверхности</x:t>
        </x:is>
      </x:c>
    </x:row>
    <x:row r="7">
      <x:c r="A7" s="3" t="inlineStr">
        <x:is>
          <x:t xml:space="preserve">Обязательность</x:t>
        </x:is>
      </x:c>
      <x:c r="B7" s="4" t="inlineStr">
        <x:is>
          <x:t xml:space="preserve">заводить сразу</x:t>
        </x:is>
      </x:c>
    </x:row>
    <x:row r="8">
      <x:c r="A8" s="3" t="inlineStr">
        <x:is>
          <x:t xml:space="preserve">Первичный ключ</x:t>
        </x:is>
      </x:c>
      <x:c r="B8" s="4" t="inlineStr">
        <x:is>
          <x:t xml:space="preserve">node_id</x:t>
        </x:is>
      </x:c>
    </x:row>
    <x:row r="9">
      <x:c r="A9" s="3" t="inlineStr">
        <x:is>
          <x:t xml:space="preserve">Зависит от</x:t>
        </x:is>
      </x:c>
      <x:c r="B9" s="4" t="inlineStr">
        <x:is>
          <x:t xml:space="preserve">segments логически; напрямую можно стартовать параллельно</x:t>
        </x:is>
      </x:c>
    </x:row>
    <x:row r="10">
      <x:c r="A10" s="3" t="inlineStr">
        <x:is>
          <x:t xml:space="preserve">Когда спавнить</x:t>
        </x:is>
      </x:c>
      <x:c r="B10" s="4" t="inlineStr">
        <x:is>
          <x:t xml:space="preserve">новая строка, когда смысл становится переиспользуемым</x:t>
        </x:is>
      </x:c>
    </x:row>
    <x:row r="11">
      <x:c r="A11" s="3" t="inlineStr">
        <x:is>
          <x:t xml:space="preserve">Правило заполнения</x:t>
        </x:is>
      </x:c>
      <x:c r="B11" s="4" t="inlineStr">
        <x:is>
          <x:t xml:space="preserve">одна строка = один смысл; не создавать отдельный node под каждую языковую формулировку</x:t>
        </x:is>
      </x:c>
    </x:row>
    <x:row r="13">
      <x:c r="A13" s="7" t="inlineStr">
        <x:is>
          <x:t xml:space="preserve">Поля</x:t>
        </x:is>
      </x:c>
    </x:row>
    <x:row r="14">
      <x:c r="A14" s="5" t="inlineStr">
        <x:is>
          <x:t xml:space="preserve">Поле</x:t>
        </x:is>
      </x:c>
      <x:c r="B14" s="5" t="inlineStr">
        <x:is>
          <x:t xml:space="preserve">Обязат.</x:t>
        </x:is>
      </x:c>
      <x:c r="C14" s="5" t="inlineStr">
        <x:is>
          <x:t xml:space="preserve">Тип</x:t>
        </x:is>
      </x:c>
      <x:c r="D14" s="5" t="inlineStr">
        <x:is>
          <x:t xml:space="preserve">Описание</x:t>
        </x:is>
      </x:c>
      <x:c r="E14" s="5" t="inlineStr">
        <x:is>
          <x:t xml:space="preserve">Пример</x:t>
        </x:is>
      </x:c>
      <x:c r="F14" s="5" t="inlineStr">
        <x:is>
          <x:t xml:space="preserve">Правило</x:t>
        </x:is>
      </x:c>
    </x:row>
    <x:row r="15">
      <x:c r="A15" s="6" t="inlineStr">
        <x:is>
          <x:t xml:space="preserve">node_id</x:t>
        </x:is>
      </x:c>
      <x:c r="B15" s="4" t="inlineStr">
        <x:is>
          <x:t xml:space="preserve">да</x:t>
        </x:is>
      </x:c>
      <x:c r="C15" s="4" t="inlineStr">
        <x:is>
          <x:t xml:space="preserve">string</x:t>
        </x:is>
      </x:c>
      <x:c r="D15" s="4" t="inlineStr">
        <x:is>
          <x:t xml:space="preserve">устойчивый id узла</x:t>
        </x:is>
      </x:c>
      <x:c r="E15" s="4" t="inlineStr">
        <x:is>
          <x:t xml:space="preserve">n.underworld</x:t>
        </x:is>
      </x:c>
      <x:c r="F15" s="4" t="inlineStr">
        <x:is>
          <x:t xml:space="preserve">one meaning -&gt; one node_id</x:t>
        </x:is>
      </x:c>
    </x:row>
    <x:row r="16">
      <x:c r="A16" s="6" t="inlineStr">
        <x:is>
          <x:t xml:space="preserve">label_ru</x:t>
        </x:is>
      </x:c>
      <x:c r="B16" s="4" t="inlineStr">
        <x:is>
          <x:t xml:space="preserve">да</x:t>
        </x:is>
      </x:c>
      <x:c r="C16" s="4" t="inlineStr">
        <x:is>
          <x:t xml:space="preserve">string</x:t>
        </x:is>
      </x:c>
      <x:c r="D16" s="4" t="inlineStr">
        <x:is>
          <x:t xml:space="preserve">рабочая русская метка</x:t>
        </x:is>
      </x:c>
      <x:c r="E16" s="4" t="inlineStr">
        <x:is>
          <x:t xml:space="preserve">подземный мир</x:t>
        </x:is>
      </x:c>
      <x:c r="F16" s="4" t="inlineStr">
        <x:is>
          <x:t xml:space="preserve">для human authoring</x:t>
        </x:is>
      </x:c>
    </x:row>
    <x:row r="17">
      <x:c r="A17" s="6" t="inlineStr">
        <x:is>
          <x:t xml:space="preserve">node_class</x:t>
        </x:is>
      </x:c>
      <x:c r="B17" s="4" t="inlineStr">
        <x:is>
          <x:t xml:space="preserve">да</x:t>
        </x:is>
      </x:c>
      <x:c r="C17" s="4" t="inlineStr">
        <x:is>
          <x:t xml:space="preserve">enum</x:t>
        </x:is>
      </x:c>
      <x:c r="D17" s="4" t="inlineStr">
        <x:is>
          <x:t xml:space="preserve">persona/entity/place/concept/animal-symbol/...</x:t>
        </x:is>
      </x:c>
      <x:c r="E17" s="4" t="inlineStr">
        <x:is>
          <x:t xml:space="preserve">underworld-domain</x:t>
        </x:is>
      </x:c>
      <x:c r="F17" s="4" t="inlineStr">
        <x:is>
          <x:t xml:space="preserve">тип узла</x:t>
        </x:is>
      </x:c>
    </x:row>
    <x:row r="18">
      <x:c r="A18" s="6" t="inlineStr">
        <x:is>
          <x:t xml:space="preserve">layer</x:t>
        </x:is>
      </x:c>
      <x:c r="B18" s="4" t="inlineStr">
        <x:is>
          <x:t xml:space="preserve">да</x:t>
        </x:is>
      </x:c>
      <x:c r="C18" s="4" t="inlineStr">
        <x:is>
          <x:t xml:space="preserve">enum</x:t>
        </x:is>
      </x:c>
      <x:c r="D18" s="4" t="inlineStr">
        <x:is>
          <x:t xml:space="preserve">source_linked / derived / commentary_support</x:t>
        </x:is>
      </x:c>
      <x:c r="E18" s="4" t="inlineStr">
        <x:is>
          <x:t xml:space="preserve">source_linked</x:t>
        </x:is>
      </x:c>
      <x:c r="F18" s="4" t="inlineStr">
        <x:is>
          <x:t xml:space="preserve">обычно source_linked</x:t>
        </x:is>
      </x:c>
    </x:row>
    <x:row r="19">
      <x:c r="A19" s="6" t="inlineStr">
        <x:is>
          <x:t xml:space="preserve">status</x:t>
        </x:is>
      </x:c>
      <x:c r="B19" s="4" t="inlineStr">
        <x:is>
          <x:t xml:space="preserve">нет</x:t>
        </x:is>
      </x:c>
      <x:c r="C19" s="4" t="inlineStr">
        <x:is>
          <x:t xml:space="preserve">enum</x:t>
        </x:is>
      </x:c>
      <x:c r="D19" s="4" t="inlineStr">
        <x:is>
          <x:t xml:space="preserve">new / reused</x:t>
        </x:is>
      </x:c>
      <x:c r="E19" s="4" t="inlineStr">
        <x:is>
          <x:t xml:space="preserve">new</x:t>
        </x:is>
      </x:c>
      <x:c r="F19" s="4" t="inlineStr">
        <x:is>
          <x:t xml:space="preserve">для контроля роста</x:t>
        </x:is>
      </x:c>
    </x:row>
    <x:row r="20">
      <x:c r="A20" s="6" t="inlineStr">
        <x:is>
          <x:t xml:space="preserve">first_segment_id</x:t>
        </x:is>
      </x:c>
      <x:c r="B20" s="4" t="inlineStr">
        <x:is>
          <x:t xml:space="preserve">да</x:t>
        </x:is>
      </x:c>
      <x:c r="C20" s="4" t="inlineStr">
        <x:is>
          <x:t xml:space="preserve">string</x:t>
        </x:is>
      </x:c>
      <x:c r="D20" s="4" t="inlineStr">
        <x:is>
          <x:t xml:space="preserve">где впервые закреплен</x:t>
        </x:is>
      </x:c>
      <x:c r="E20" s="4" t="inlineStr">
        <x:is>
          <x:t xml:space="preserve">seg.1.1.1.7</x:t>
        </x:is>
      </x:c>
      <x:c r="F20" s="4" t="inlineStr">
        <x:is>
          <x:t xml:space="preserve">первичный anchor</x:t>
        </x:is>
      </x:c>
    </x:row>
    <x:row r="21">
      <x:c r="A21" s="6" t="inlineStr">
        <x:is>
          <x:t xml:space="preserve">first_source_secondary</x:t>
        </x:is>
      </x:c>
      <x:c r="B21" s="4" t="inlineStr">
        <x:is>
          <x:t xml:space="preserve">да</x:t>
        </x:is>
      </x:c>
      <x:c r="C21" s="4" t="inlineStr">
        <x:is>
          <x:t xml:space="preserve">string</x:t>
        </x:is>
      </x:c>
      <x:c r="D21" s="4" t="inlineStr">
        <x:is>
          <x:t xml:space="preserve">вторичный адрес первого появления</x:t>
        </x:is>
      </x:c>
      <x:c r="E21" s="4" t="inlineStr">
        <x:is>
          <x:t xml:space="preserve">1,1,1,7</x:t>
        </x:is>
      </x:c>
      <x:c r="F21" s="4" t="inlineStr">
        <x:is>
          <x:t xml:space="preserve">быстрый адрес</x:t>
        </x:is>
      </x:c>
    </x:row>
    <x:row r="22">
      <x:c r="A22" s="6" t="inlineStr">
        <x:is>
          <x:t xml:space="preserve">canonical_label</x:t>
        </x:is>
      </x:c>
      <x:c r="B22" s="4" t="inlineStr">
        <x:is>
          <x:t xml:space="preserve">нет</x:t>
        </x:is>
      </x:c>
      <x:c r="C22" s="4" t="inlineStr">
        <x:is>
          <x:t xml:space="preserve">string</x:t>
        </x:is>
      </x:c>
      <x:c r="D22" s="4" t="inlineStr">
        <x:is>
          <x:t xml:space="preserve">нейтральное имя без языка поверхности</x:t>
        </x:is>
      </x:c>
      <x:c r="E22" s="4" t="inlineStr">
        <x:is>
          <x:t xml:space="preserve">underworld</x:t>
        </x:is>
      </x:c>
      <x:c r="F22" s="4" t="inlineStr">
        <x:is>
          <x:t xml:space="preserve">для экспорта</x:t>
        </x:is>
      </x:c>
    </x:row>
    <x:row r="23">
      <x:c r="A23" s="6" t="inlineStr">
        <x:is>
          <x:t xml:space="preserve">notes</x:t>
        </x:is>
      </x:c>
      <x:c r="B23" s="4" t="inlineStr">
        <x:is>
          <x:t xml:space="preserve">нет</x:t>
        </x:is>
      </x:c>
      <x:c r="C23" s="4" t="inlineStr">
        <x:is>
          <x:t xml:space="preserve">text</x:t>
        </x:is>
      </x:c>
      <x:c r="D23" s="4" t="inlineStr">
        <x:is>
          <x:t xml:space="preserve">служебная заметка</x:t>
        </x:is>
      </x:c>
      <x:c r="E23" s="4" t="inlineStr">
        <x:is>
          <x:t xml:space="preserve">адресат света солнца</x:t>
        </x:is>
      </x:c>
      <x:c r="F23" s="4" t="inlineStr">
        <x:is>
          <x:t xml:space="preserve">не заменяет principles</x:t>
        </x:is>
      </x:c>
    </x:row>
    <x:row r="25">
      <x:c r="A25" s="7" t="inlineStr">
        <x:is>
          <x:t xml:space="preserve">Минимальный пример строки</x:t>
        </x:is>
      </x:c>
    </x:row>
    <x:row r="26">
      <x:c r="A26" s="5" t="inlineStr">
        <x:is>
          <x:t xml:space="preserve">node_id</x:t>
        </x:is>
      </x:c>
      <x:c r="B26" s="5" t="inlineStr">
        <x:is>
          <x:t xml:space="preserve">label_ru</x:t>
        </x:is>
      </x:c>
      <x:c r="C26" s="5" t="inlineStr">
        <x:is>
          <x:t xml:space="preserve">node_class</x:t>
        </x:is>
      </x:c>
      <x:c r="D26" s="5" t="inlineStr">
        <x:is>
          <x:t xml:space="preserve">first_segment_id</x:t>
        </x:is>
      </x:c>
      <x:c r="E26" s="5" t="inlineStr">
        <x:is>
          <x:t xml:space="preserve">first_source_secondary</x:t>
        </x:is>
      </x:c>
      <x:c r="F26" s="5" t="inlineStr">
        <x:is>
          <x:t xml:space="preserve">notes</x:t>
        </x:is>
      </x:c>
    </x:row>
    <x:row r="27">
      <x:c r="A27" s="6" t="inlineStr">
        <x:is>
          <x:t xml:space="preserve">n.underworld</x:t>
        </x:is>
      </x:c>
      <x:c r="B27" s="4" t="inlineStr">
        <x:is>
          <x:t xml:space="preserve">подземный мир</x:t>
        </x:is>
      </x:c>
      <x:c r="C27" s="4" t="inlineStr">
        <x:is>
          <x:t xml:space="preserve">underworld-domain</x:t>
        </x:is>
      </x:c>
      <x:c r="D27" s="4" t="inlineStr">
        <x:is>
          <x:t xml:space="preserve">seg.1.1.1.7</x:t>
        </x:is>
      </x:c>
      <x:c r="E27" s="4" t="inlineStr">
        <x:is>
          <x:t xml:space="preserve">1,1,1,7</x:t>
        </x:is>
      </x:c>
      <x:c r="F27" s="4" t="inlineStr">
        <x:is>
          <x:t xml:space="preserve">адресат света солнца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5a4c07cfff8a4830"/>
    <x:tablePart xmlns:r="http://schemas.openxmlformats.org/officeDocument/2006/relationships" r:id="R83f873882f8f447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26" customWidth="1"/>
    <x:col min="7" max="7" width="26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Схема: event_state_nodes</x:t>
        </x:is>
      </x:c>
    </x:row>
    <x:row r="2" ht="20" customHeight="1">
      <x:c r="A2" s="2" t="inlineStr">
        <x:is>
          <x:t xml:space="preserve">Здесь строка превращается в событие или состояние.</x:t>
        </x:is>
      </x:c>
    </x:row>
    <x:row r="4">
      <x:c r="A4" s="3" t="inlineStr">
        <x:is>
          <x:t xml:space="preserve">Таблица</x:t>
        </x:is>
      </x:c>
      <x:c r="B4" s="4" t="inlineStr">
        <x:is>
          <x:t xml:space="preserve">event_state_nodes</x:t>
        </x:is>
      </x:c>
    </x:row>
    <x:row r="5">
      <x:c r="A5" s="3" t="inlineStr">
        <x:is>
          <x:t xml:space="preserve">Волна</x:t>
        </x:is>
      </x:c>
      <x:c r="B5" s="4" t="inlineStr">
        <x:is>
          <x:t xml:space="preserve">фундаментальный</x:t>
        </x:is>
      </x:c>
    </x:row>
    <x:row r="6">
      <x:c r="A6" s="3" t="inlineStr">
        <x:is>
          <x:t xml:space="preserve">Назначение</x:t>
        </x:is>
      </x:c>
      <x:c r="B6" s="4" t="inlineStr">
        <x:is>
          <x:t xml:space="preserve">удерживать длительность, множественных участников, условность, повторяемость и аналогии</x:t>
        </x:is>
      </x:c>
    </x:row>
    <x:row r="7">
      <x:c r="A7" s="3" t="inlineStr">
        <x:is>
          <x:t xml:space="preserve">Обязательность</x:t>
        </x:is>
      </x:c>
      <x:c r="B7" s="4" t="inlineStr">
        <x:is>
          <x:t xml:space="preserve">заводить сразу</x:t>
        </x:is>
      </x:c>
    </x:row>
    <x:row r="8">
      <x:c r="A8" s="3" t="inlineStr">
        <x:is>
          <x:t xml:space="preserve">Первичный ключ</x:t>
        </x:is>
      </x:c>
      <x:c r="B8" s="4" t="inlineStr">
        <x:is>
          <x:t xml:space="preserve">es_id</x:t>
        </x:is>
      </x:c>
    </x:row>
    <x:row r="9">
      <x:c r="A9" s="3" t="inlineStr">
        <x:is>
          <x:t xml:space="preserve">Зависит от</x:t>
        </x:is>
      </x:c>
      <x:c r="B9" s="4" t="inlineStr">
        <x:is>
          <x:t xml:space="preserve">nodes, segments</x:t>
        </x:is>
      </x:c>
    </x:row>
    <x:row r="10">
      <x:c r="A10" s="3" t="inlineStr">
        <x:is>
          <x:t xml:space="preserve">Когда спавнить</x:t>
        </x:is>
      </x:c>
      <x:c r="B10" s="4" t="inlineStr">
        <x:is>
          <x:t xml:space="preserve">когда плоская тройка теряет важную структуру</x:t>
        </x:is>
      </x:c>
    </x:row>
    <x:row r="11">
      <x:c r="A11" s="3" t="inlineStr">
        <x:is>
          <x:t xml:space="preserve">Правило заполнения</x:t>
        </x:is>
      </x:c>
      <x:c r="B11" s="4" t="inlineStr">
        <x:is>
          <x:t xml:space="preserve">создавать event/state node, если у отношения есть время, путь, несколько ролей, повтор, условность или образная функция</x:t>
        </x:is>
      </x:c>
    </x:row>
    <x:row r="13">
      <x:c r="A13" s="7" t="inlineStr">
        <x:is>
          <x:t xml:space="preserve">Поля</x:t>
        </x:is>
      </x:c>
    </x:row>
    <x:row r="14">
      <x:c r="A14" s="5" t="inlineStr">
        <x:is>
          <x:t xml:space="preserve">Поле</x:t>
        </x:is>
      </x:c>
      <x:c r="B14" s="5" t="inlineStr">
        <x:is>
          <x:t xml:space="preserve">Обязат.</x:t>
        </x:is>
      </x:c>
      <x:c r="C14" s="5" t="inlineStr">
        <x:is>
          <x:t xml:space="preserve">Тип</x:t>
        </x:is>
      </x:c>
      <x:c r="D14" s="5" t="inlineStr">
        <x:is>
          <x:t xml:space="preserve">Описание</x:t>
        </x:is>
      </x:c>
      <x:c r="E14" s="5" t="inlineStr">
        <x:is>
          <x:t xml:space="preserve">Пример</x:t>
        </x:is>
      </x:c>
      <x:c r="F14" s="5" t="inlineStr">
        <x:is>
          <x:t xml:space="preserve">Правило</x:t>
        </x:is>
      </x:c>
    </x:row>
    <x:row r="15">
      <x:c r="A15" s="6" t="inlineStr">
        <x:is>
          <x:t xml:space="preserve">es_id</x:t>
        </x:is>
      </x:c>
      <x:c r="B15" s="4" t="inlineStr">
        <x:is>
          <x:t xml:space="preserve">да</x:t>
        </x:is>
      </x:c>
      <x:c r="C15" s="4" t="inlineStr">
        <x:is>
          <x:t xml:space="preserve">string</x:t>
        </x:is>
      </x:c>
      <x:c r="D15" s="4" t="inlineStr">
        <x:is>
          <x:t xml:space="preserve">id события/состояния</x:t>
        </x:is>
      </x:c>
      <x:c r="E15" s="4" t="inlineStr">
        <x:is>
          <x:t xml:space="preserve">ev.p7_8.descent_named_as_go_under</x:t>
        </x:is>
      </x:c>
      <x:c r="F15" s="4" t="inlineStr">
        <x:is>
          <x:t xml:space="preserve">стабильный</x:t>
        </x:is>
      </x:c>
    </x:row>
    <x:row r="16">
      <x:c r="A16" s="6" t="inlineStr">
        <x:is>
          <x:t xml:space="preserve">kind</x:t>
        </x:is>
      </x:c>
      <x:c r="B16" s="4" t="inlineStr">
        <x:is>
          <x:t xml:space="preserve">да</x:t>
        </x:is>
      </x:c>
      <x:c r="C16" s="4" t="inlineStr">
        <x:is>
          <x:t xml:space="preserve">enum</x:t>
        </x:is>
      </x:c>
      <x:c r="D16" s="4" t="inlineStr">
        <x:is>
          <x:t xml:space="preserve">event / state / analogy / composite</x:t>
        </x:is>
      </x:c>
      <x:c r="E16" s="4" t="inlineStr">
        <x:is>
          <x:t xml:space="preserve">event</x:t>
        </x:is>
      </x:c>
      <x:c r="F16" s="4" t="inlineStr">
        <x:is>
          <x:t xml:space="preserve">тип узла</x:t>
        </x:is>
      </x:c>
    </x:row>
    <x:row r="17">
      <x:c r="A17" s="6" t="inlineStr">
        <x:is>
          <x:t xml:space="preserve">label_ru</x:t>
        </x:is>
      </x:c>
      <x:c r="B17" s="4" t="inlineStr">
        <x:is>
          <x:t xml:space="preserve">да</x:t>
        </x:is>
      </x:c>
      <x:c r="C17" s="4" t="inlineStr">
        <x:is>
          <x:t xml:space="preserve">string</x:t>
        </x:is>
      </x:c>
      <x:c r="D17" s="4" t="inlineStr">
        <x:is>
          <x:t xml:space="preserve">рабочее имя</x:t>
        </x:is>
      </x:c>
      <x:c r="E17" s="4" t="inlineStr">
        <x:is>
          <x:t xml:space="preserve">нисхождение, названное untergehen</x:t>
        </x:is>
      </x:c>
      <x:c r="F17" s="4" t="inlineStr">
        <x:is>
          <x:t xml:space="preserve">коротко и точно</x:t>
        </x:is>
      </x:c>
    </x:row>
    <x:row r="18">
      <x:c r="A18" s="6" t="inlineStr">
        <x:is>
          <x:t xml:space="preserve">anchor_mode</x:t>
        </x:is>
      </x:c>
      <x:c r="B18" s="4" t="inlineStr">
        <x:is>
          <x:t xml:space="preserve">да</x:t>
        </x:is>
      </x:c>
      <x:c r="C18" s="4" t="inlineStr">
        <x:is>
          <x:t xml:space="preserve">enum</x:t>
        </x:is>
      </x:c>
      <x:c r="D18" s="4" t="inlineStr">
        <x:is>
          <x:t xml:space="preserve">single / multi</x:t>
        </x:is>
      </x:c>
      <x:c r="E18" s="4" t="inlineStr">
        <x:is>
          <x:t xml:space="preserve">multi</x:t>
        </x:is>
      </x:c>
      <x:c r="F18" s="4" t="inlineStr">
        <x:is>
          <x:t xml:space="preserve">если узел держится на 2+ сегментах</x:t>
        </x:is>
      </x:c>
    </x:row>
    <x:row r="19">
      <x:c r="A19" s="6" t="inlineStr">
        <x:is>
          <x:t xml:space="preserve">anchor_start</x:t>
        </x:is>
      </x:c>
      <x:c r="B19" s="4" t="inlineStr">
        <x:is>
          <x:t xml:space="preserve">да</x:t>
        </x:is>
      </x:c>
      <x:c r="C19" s="4" t="inlineStr">
        <x:is>
          <x:t xml:space="preserve">string</x:t>
        </x:is>
      </x:c>
      <x:c r="D19" s="4" t="inlineStr">
        <x:is>
          <x:t xml:space="preserve">первый source_secondary</x:t>
        </x:is>
      </x:c>
      <x:c r="E19" s="4" t="inlineStr">
        <x:is>
          <x:t xml:space="preserve">1,1,1,7</x:t>
        </x:is>
      </x:c>
      <x:c r="F19" s="4" t="inlineStr">
        <x:is>
          <x:t xml:space="preserve">начало anchor</x:t>
        </x:is>
      </x:c>
    </x:row>
    <x:row r="20">
      <x:c r="A20" s="6" t="inlineStr">
        <x:is>
          <x:t xml:space="preserve">anchor_end</x:t>
        </x:is>
      </x:c>
      <x:c r="B20" s="4" t="inlineStr">
        <x:is>
          <x:t xml:space="preserve">нет</x:t>
        </x:is>
      </x:c>
      <x:c r="C20" s="4" t="inlineStr">
        <x:is>
          <x:t xml:space="preserve">string</x:t>
        </x:is>
      </x:c>
      <x:c r="D20" s="4" t="inlineStr">
        <x:is>
          <x:t xml:space="preserve">последний source_secondary</x:t>
        </x:is>
      </x:c>
      <x:c r="E20" s="4" t="inlineStr">
        <x:is>
          <x:t xml:space="preserve">1,1,1,8</x:t>
        </x:is>
      </x:c>
      <x:c r="F20" s="4" t="inlineStr">
        <x:is>
          <x:t xml:space="preserve">если multi-anchor</x:t>
        </x:is>
      </x:c>
    </x:row>
    <x:row r="21">
      <x:c r="A21" s="6" t="inlineStr">
        <x:is>
          <x:t xml:space="preserve">subject_hint</x:t>
        </x:is>
      </x:c>
      <x:c r="B21" s="4" t="inlineStr">
        <x:is>
          <x:t xml:space="preserve">нет</x:t>
        </x:is>
      </x:c>
      <x:c r="C21" s="4" t="inlineStr">
        <x:is>
          <x:t xml:space="preserve">string</x:t>
        </x:is>
      </x:c>
      <x:c r="D21" s="4" t="inlineStr">
        <x:is>
          <x:t xml:space="preserve">основной участник</x:t>
        </x:is>
      </x:c>
      <x:c r="E21" s="4" t="inlineStr">
        <x:is>
          <x:t xml:space="preserve">n.zarathustra</x:t>
        </x:is>
      </x:c>
      <x:c r="F21" s="4" t="inlineStr">
        <x:is>
          <x:t xml:space="preserve">подсказка, не замена edges</x:t>
        </x:is>
      </x:c>
    </x:row>
    <x:row r="22">
      <x:c r="A22" s="6" t="inlineStr">
        <x:is>
          <x:t xml:space="preserve">es_class</x:t>
        </x:is>
      </x:c>
      <x:c r="B22" s="4" t="inlineStr">
        <x:is>
          <x:t xml:space="preserve">нет</x:t>
        </x:is>
      </x:c>
      <x:c r="C22" s="4" t="inlineStr">
        <x:is>
          <x:t xml:space="preserve">string</x:t>
        </x:is>
      </x:c>
      <x:c r="D22" s="4" t="inlineStr">
        <x:is>
          <x:t xml:space="preserve">класс события/состояния</x:t>
        </x:is>
      </x:c>
      <x:c r="E22" s="4" t="inlineStr">
        <x:is>
          <x:t xml:space="preserve">chosen_descent</x:t>
        </x:is>
      </x:c>
      <x:c r="F22" s="4" t="inlineStr">
        <x:is>
          <x:t xml:space="preserve">удобно для группировок</x:t>
        </x:is>
      </x:c>
    </x:row>
    <x:row r="23">
      <x:c r="A23" s="6" t="inlineStr">
        <x:is>
          <x:t xml:space="preserve">repeatable</x:t>
        </x:is>
      </x:c>
      <x:c r="B23" s="4" t="inlineStr">
        <x:is>
          <x:t xml:space="preserve">нет</x:t>
        </x:is>
      </x:c>
      <x:c r="C23" s="4" t="inlineStr">
        <x:is>
          <x:t xml:space="preserve">boolean</x:t>
        </x:is>
      </x:c>
      <x:c r="D23" s="4" t="inlineStr">
        <x:is>
          <x:t xml:space="preserve">повторяется ли</x:t>
        </x:is>
      </x:c>
      <x:c r="E23" s="4" t="inlineStr">
        <x:is>
          <x:t xml:space="preserve">FALSE</x:t>
        </x:is>
      </x:c>
      <x:c r="F23" s="4" t="inlineStr">
        <x:is>
          <x:t xml:space="preserve">для ритуалов и recurring forms</x:t>
        </x:is>
      </x:c>
    </x:row>
    <x:row r="24">
      <x:c r="A24" s="6" t="inlineStr">
        <x:is>
          <x:t xml:space="preserve">notes</x:t>
        </x:is>
      </x:c>
      <x:c r="B24" s="4" t="inlineStr">
        <x:is>
          <x:t xml:space="preserve">нет</x:t>
        </x:is>
      </x:c>
      <x:c r="C24" s="4" t="inlineStr">
        <x:is>
          <x:t xml:space="preserve">text</x:t>
        </x:is>
      </x:c>
      <x:c r="D24" s="4" t="inlineStr">
        <x:is>
          <x:t xml:space="preserve">служебная заметка</x:t>
        </x:is>
      </x:c>
      <x:c r="E24" s="4" t="inlineStr">
        <x:is>
          <x:t xml:space="preserve">мост между [7] и [8]</x:t>
        </x:is>
      </x:c>
      <x:c r="F24" s="4" t="inlineStr">
        <x:is>
          <x:t xml:space="preserve">не заменяет principles</x:t>
        </x:is>
      </x:c>
    </x:row>
    <x:row r="26">
      <x:c r="A26" s="7" t="inlineStr">
        <x:is>
          <x:t xml:space="preserve">Минимальный пример строки</x:t>
        </x:is>
      </x:c>
    </x:row>
    <x:row r="27">
      <x:c r="A27" s="5" t="inlineStr">
        <x:is>
          <x:t xml:space="preserve">es_id</x:t>
        </x:is>
      </x:c>
      <x:c r="B27" s="5" t="inlineStr">
        <x:is>
          <x:t xml:space="preserve">kind</x:t>
        </x:is>
      </x:c>
      <x:c r="C27" s="5" t="inlineStr">
        <x:is>
          <x:t xml:space="preserve">anchor_mode</x:t>
        </x:is>
      </x:c>
      <x:c r="D27" s="5" t="inlineStr">
        <x:is>
          <x:t xml:space="preserve">anchor_start</x:t>
        </x:is>
      </x:c>
      <x:c r="E27" s="5" t="inlineStr">
        <x:is>
          <x:t xml:space="preserve">anchor_end</x:t>
        </x:is>
      </x:c>
      <x:c r="F27" s="5" t="inlineStr">
        <x:is>
          <x:t xml:space="preserve">label_ru</x:t>
        </x:is>
      </x:c>
    </x:row>
    <x:row r="28">
      <x:c r="A28" s="6" t="inlineStr">
        <x:is>
          <x:t xml:space="preserve">ev.p7_8.descent_named_as_go_under</x:t>
        </x:is>
      </x:c>
      <x:c r="B28" s="4" t="inlineStr">
        <x:is>
          <x:t xml:space="preserve">event</x:t>
        </x:is>
      </x:c>
      <x:c r="C28" s="4" t="inlineStr">
        <x:is>
          <x:t xml:space="preserve">multi</x:t>
        </x:is>
      </x:c>
      <x:c r="D28" s="4" t="inlineStr">
        <x:is>
          <x:t xml:space="preserve">1,1,1,7</x:t>
        </x:is>
      </x:c>
      <x:c r="E28" s="4" t="inlineStr">
        <x:is>
          <x:t xml:space="preserve">1,1,1,8</x:t>
        </x:is>
      </x:c>
      <x:c r="F28" s="4" t="inlineStr">
        <x:is>
          <x:t xml:space="preserve">нисхождение, названное untergehen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51a5f843e4f04f20"/>
    <x:tablePart xmlns:r="http://schemas.openxmlformats.org/officeDocument/2006/relationships" r:id="R8a47a5b41fbe47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26" customWidth="1"/>
    <x:col min="7" max="7" width="26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Схема: edges</x:t>
        </x:is>
      </x:c>
    </x:row>
    <x:row r="2" ht="20" customHeight="1">
      <x:c r="A2" s="2" t="inlineStr">
        <x:is>
          <x:t xml:space="preserve">Нормализованные связи между узлами, событиями и состояниями.</x:t>
        </x:is>
      </x:c>
    </x:row>
    <x:row r="4">
      <x:c r="A4" s="3" t="inlineStr">
        <x:is>
          <x:t xml:space="preserve">Таблица</x:t>
        </x:is>
      </x:c>
      <x:c r="B4" s="4" t="inlineStr">
        <x:is>
          <x:t xml:space="preserve">edges</x:t>
        </x:is>
      </x:c>
    </x:row>
    <x:row r="5">
      <x:c r="A5" s="3" t="inlineStr">
        <x:is>
          <x:t xml:space="preserve">Волна</x:t>
        </x:is>
      </x:c>
      <x:c r="B5" s="4" t="inlineStr">
        <x:is>
          <x:t xml:space="preserve">фундаментальный</x:t>
        </x:is>
      </x:c>
    </x:row>
    <x:row r="6">
      <x:c r="A6" s="3" t="inlineStr">
        <x:is>
          <x:t xml:space="preserve">Назначение</x:t>
        </x:is>
      </x:c>
      <x:c r="B6" s="4" t="inlineStr">
        <x:is>
          <x:t xml:space="preserve">собрать графовую ткань из минимальных relations</x:t>
        </x:is>
      </x:c>
    </x:row>
    <x:row r="7">
      <x:c r="A7" s="3" t="inlineStr">
        <x:is>
          <x:t xml:space="preserve">Обязательность</x:t>
        </x:is>
      </x:c>
      <x:c r="B7" s="4" t="inlineStr">
        <x:is>
          <x:t xml:space="preserve">заводить сразу</x:t>
        </x:is>
      </x:c>
    </x:row>
    <x:row r="8">
      <x:c r="A8" s="3" t="inlineStr">
        <x:is>
          <x:t xml:space="preserve">Первичный ключ</x:t>
        </x:is>
      </x:c>
      <x:c r="B8" s="4" t="inlineStr">
        <x:is>
          <x:t xml:space="preserve">edge_id</x:t>
        </x:is>
      </x:c>
    </x:row>
    <x:row r="9">
      <x:c r="A9" s="3" t="inlineStr">
        <x:is>
          <x:t xml:space="preserve">Зависит от</x:t>
        </x:is>
      </x:c>
      <x:c r="B9" s="4" t="inlineStr">
        <x:is>
          <x:t xml:space="preserve">nodes и/или event_state_nodes</x:t>
        </x:is>
      </x:c>
    </x:row>
    <x:row r="10">
      <x:c r="A10" s="3" t="inlineStr">
        <x:is>
          <x:t xml:space="preserve">Когда спавнить</x:t>
        </x:is>
      </x:c>
      <x:c r="B10" s="4" t="inlineStr">
        <x:is>
          <x:t xml:space="preserve">новая строка на каждую устойчивую relation</x:t>
        </x:is>
      </x:c>
    </x:row>
    <x:row r="11">
      <x:c r="A11" s="3" t="inlineStr">
        <x:is>
          <x:t xml:space="preserve">Правило заполнения</x:t>
        </x:is>
      </x:c>
      <x:c r="B11" s="4" t="inlineStr">
        <x:is>
          <x:t xml:space="preserve">не хранить в одной строке два разных утверждения; сложность выносить в event/state nodes</x:t>
        </x:is>
      </x:c>
    </x:row>
    <x:row r="13">
      <x:c r="A13" s="7" t="inlineStr">
        <x:is>
          <x:t xml:space="preserve">Поля</x:t>
        </x:is>
      </x:c>
    </x:row>
    <x:row r="14">
      <x:c r="A14" s="5" t="inlineStr">
        <x:is>
          <x:t xml:space="preserve">Поле</x:t>
        </x:is>
      </x:c>
      <x:c r="B14" s="5" t="inlineStr">
        <x:is>
          <x:t xml:space="preserve">Обязат.</x:t>
        </x:is>
      </x:c>
      <x:c r="C14" s="5" t="inlineStr">
        <x:is>
          <x:t xml:space="preserve">Тип</x:t>
        </x:is>
      </x:c>
      <x:c r="D14" s="5" t="inlineStr">
        <x:is>
          <x:t xml:space="preserve">Описание</x:t>
        </x:is>
      </x:c>
      <x:c r="E14" s="5" t="inlineStr">
        <x:is>
          <x:t xml:space="preserve">Пример</x:t>
        </x:is>
      </x:c>
      <x:c r="F14" s="5" t="inlineStr">
        <x:is>
          <x:t xml:space="preserve">Правило</x:t>
        </x:is>
      </x:c>
    </x:row>
    <x:row r="15">
      <x:c r="A15" s="6" t="inlineStr">
        <x:is>
          <x:t xml:space="preserve">edge_id</x:t>
        </x:is>
      </x:c>
      <x:c r="B15" s="4" t="inlineStr">
        <x:is>
          <x:t xml:space="preserve">да</x:t>
        </x:is>
      </x:c>
      <x:c r="C15" s="4" t="inlineStr">
        <x:is>
          <x:t xml:space="preserve">string</x:t>
        </x:is>
      </x:c>
      <x:c r="D15" s="4" t="inlineStr">
        <x:is>
          <x:t xml:space="preserve">id связи</x:t>
        </x:is>
      </x:c>
      <x:c r="E15" s="4" t="inlineStr">
        <x:is>
          <x:t xml:space="preserve">e63</x:t>
        </x:is>
      </x:c>
      <x:c r="F15" s="4" t="inlineStr">
        <x:is>
          <x:t xml:space="preserve">стабилен внутри проекта</x:t>
        </x:is>
      </x:c>
    </x:row>
    <x:row r="16">
      <x:c r="A16" s="6" t="inlineStr">
        <x:is>
          <x:t xml:space="preserve">from_id</x:t>
        </x:is>
      </x:c>
      <x:c r="B16" s="4" t="inlineStr">
        <x:is>
          <x:t xml:space="preserve">да</x:t>
        </x:is>
      </x:c>
      <x:c r="C16" s="4" t="inlineStr">
        <x:is>
          <x:t xml:space="preserve">string</x:t>
        </x:is>
      </x:c>
      <x:c r="D16" s="4" t="inlineStr">
        <x:is>
          <x:t xml:space="preserve">исходный узел</x:t>
        </x:is>
      </x:c>
      <x:c r="E16" s="4" t="inlineStr">
        <x:is>
          <x:t xml:space="preserve">n.humans</x:t>
        </x:is>
      </x:c>
      <x:c r="F16" s="4" t="inlineStr">
        <x:is>
          <x:t xml:space="preserve">node_id или es_id</x:t>
        </x:is>
      </x:c>
    </x:row>
    <x:row r="17">
      <x:c r="A17" s="6" t="inlineStr">
        <x:is>
          <x:t xml:space="preserve">predicate_id</x:t>
        </x:is>
      </x:c>
      <x:c r="B17" s="4" t="inlineStr">
        <x:is>
          <x:t xml:space="preserve">да</x:t>
        </x:is>
      </x:c>
      <x:c r="C17" s="4" t="inlineStr">
        <x:is>
          <x:t xml:space="preserve">string</x:t>
        </x:is>
      </x:c>
      <x:c r="D17" s="4" t="inlineStr">
        <x:is>
          <x:t xml:space="preserve">нормализованный предикат</x:t>
        </x:is>
      </x:c>
      <x:c r="E17" s="4" t="inlineStr">
        <x:is>
          <x:t xml:space="preserve">names_descent_as</x:t>
        </x:is>
      </x:c>
      <x:c r="F17" s="4" t="inlineStr">
        <x:is>
          <x:t xml:space="preserve">не языковая поверхность</x:t>
        </x:is>
      </x:c>
    </x:row>
    <x:row r="18">
      <x:c r="A18" s="6" t="inlineStr">
        <x:is>
          <x:t xml:space="preserve">to_id</x:t>
        </x:is>
      </x:c>
      <x:c r="B18" s="4" t="inlineStr">
        <x:is>
          <x:t xml:space="preserve">да</x:t>
        </x:is>
      </x:c>
      <x:c r="C18" s="4" t="inlineStr">
        <x:is>
          <x:t xml:space="preserve">string</x:t>
        </x:is>
      </x:c>
      <x:c r="D18" s="4" t="inlineStr">
        <x:is>
          <x:t xml:space="preserve">целевой узел</x:t>
        </x:is>
      </x:c>
      <x:c r="E18" s="4" t="inlineStr">
        <x:is>
          <x:t xml:space="preserve">n.go_under</x:t>
        </x:is>
      </x:c>
      <x:c r="F18" s="4" t="inlineStr">
        <x:is>
          <x:t xml:space="preserve">node_id или es_id</x:t>
        </x:is>
      </x:c>
    </x:row>
    <x:row r="19">
      <x:c r="A19" s="6" t="inlineStr">
        <x:is>
          <x:t xml:space="preserve">layer</x:t>
        </x:is>
      </x:c>
      <x:c r="B19" s="4" t="inlineStr">
        <x:is>
          <x:t xml:space="preserve">да</x:t>
        </x:is>
      </x:c>
      <x:c r="C19" s="4" t="inlineStr">
        <x:is>
          <x:t xml:space="preserve">enum</x:t>
        </x:is>
      </x:c>
      <x:c r="D19" s="4" t="inlineStr">
        <x:is>
          <x:t xml:space="preserve">source_linked / distilled / commentary_support</x:t>
        </x:is>
      </x:c>
      <x:c r="E19" s="4" t="inlineStr">
        <x:is>
          <x:t xml:space="preserve">source_linked</x:t>
        </x:is>
      </x:c>
      <x:c r="F19" s="4" t="inlineStr">
        <x:is>
          <x:t xml:space="preserve">чаще всего source_linked</x:t>
        </x:is>
      </x:c>
    </x:row>
    <x:row r="20">
      <x:c r="A20" s="6" t="inlineStr">
        <x:is>
          <x:t xml:space="preserve">anchor_source_secondary</x:t>
        </x:is>
      </x:c>
      <x:c r="B20" s="4" t="inlineStr">
        <x:is>
          <x:t xml:space="preserve">да</x:t>
        </x:is>
      </x:c>
      <x:c r="C20" s="4" t="inlineStr">
        <x:is>
          <x:t xml:space="preserve">string</x:t>
        </x:is>
      </x:c>
      <x:c r="D20" s="4" t="inlineStr">
        <x:is>
          <x:t xml:space="preserve">привязка к месту</x:t>
        </x:is>
      </x:c>
      <x:c r="E20" s="4" t="inlineStr">
        <x:is>
          <x:t xml:space="preserve">1,1,1,8</x:t>
        </x:is>
      </x:c>
      <x:c r="F20" s="4" t="inlineStr">
        <x:is>
          <x:t xml:space="preserve">минимальный anchor</x:t>
        </x:is>
      </x:c>
    </x:row>
    <x:row r="21">
      <x:c r="A21" s="6" t="inlineStr">
        <x:is>
          <x:t xml:space="preserve">segment_id</x:t>
        </x:is>
      </x:c>
      <x:c r="B21" s="4" t="inlineStr">
        <x:is>
          <x:t xml:space="preserve">нет</x:t>
        </x:is>
      </x:c>
      <x:c r="C21" s="4" t="inlineStr">
        <x:is>
          <x:t xml:space="preserve">string</x:t>
        </x:is>
      </x:c>
      <x:c r="D21" s="4" t="inlineStr">
        <x:is>
          <x:t xml:space="preserve">привязка к сегменту</x:t>
        </x:is>
      </x:c>
      <x:c r="E21" s="4" t="inlineStr">
        <x:is>
          <x:t xml:space="preserve">seg.1.1.1.8</x:t>
        </x:is>
      </x:c>
      <x:c r="F21" s="4" t="inlineStr">
        <x:is>
          <x:t xml:space="preserve">предпочтительно</x:t>
        </x:is>
      </x:c>
    </x:row>
    <x:row r="22">
      <x:c r="A22" s="6" t="inlineStr">
        <x:is>
          <x:t xml:space="preserve">witness_scope</x:t>
        </x:is>
      </x:c>
      <x:c r="B22" s="4" t="inlineStr">
        <x:is>
          <x:t xml:space="preserve">нет</x:t>
        </x:is>
      </x:c>
      <x:c r="C22" s="4" t="inlineStr">
        <x:is>
          <x:t xml:space="preserve">string</x:t>
        </x:is>
      </x:c>
      <x:c r="D22" s="4" t="inlineStr">
        <x:is>
          <x:t xml:space="preserve">какие witness-слои подтверждают</x:t>
        </x:is>
      </x:c>
      <x:c r="E22" s="4" t="inlineStr">
        <x:is>
          <x:t xml:space="preserve">de+ru+en</x:t>
        </x:is>
      </x:c>
      <x:c r="F22" s="4" t="inlineStr">
        <x:is>
          <x:t xml:space="preserve">или конкретный witness</x:t>
        </x:is>
      </x:c>
    </x:row>
    <x:row r="23">
      <x:c r="A23" s="6" t="inlineStr">
        <x:is>
          <x:t xml:space="preserve">confidence</x:t>
        </x:is>
      </x:c>
      <x:c r="B23" s="4" t="inlineStr">
        <x:is>
          <x:t xml:space="preserve">нет</x:t>
        </x:is>
      </x:c>
      <x:c r="C23" s="4" t="inlineStr">
        <x:is>
          <x:t xml:space="preserve">decimal</x:t>
        </x:is>
      </x:c>
      <x:c r="D23" s="4" t="inlineStr">
        <x:is>
          <x:t xml:space="preserve">уверенность в extraction</x:t>
        </x:is>
      </x:c>
      <x:c r="E23" s="4" t="inlineStr">
        <x:is>
          <x:t xml:space="preserve">1.0</x:t>
        </x:is>
      </x:c>
      <x:c r="F23" s="4" t="inlineStr">
        <x:is>
          <x:t xml:space="preserve">если понадобится</x:t>
        </x:is>
      </x:c>
    </x:row>
    <x:row r="24">
      <x:c r="A24" s="6" t="inlineStr">
        <x:is>
          <x:t xml:space="preserve">note</x:t>
        </x:is>
      </x:c>
      <x:c r="B24" s="4" t="inlineStr">
        <x:is>
          <x:t xml:space="preserve">нет</x:t>
        </x:is>
      </x:c>
      <x:c r="C24" s="4" t="inlineStr">
        <x:is>
          <x:t xml:space="preserve">text</x:t>
        </x:is>
      </x:c>
      <x:c r="D24" s="4" t="inlineStr">
        <x:is>
          <x:t xml:space="preserve">служебная помета</x:t>
        </x:is>
      </x:c>
      <x:c r="E24" s="4" t="inlineStr">
        <x:is>
          <x:t xml:space="preserve">люди дают имя нисхождению</x:t>
        </x:is>
      </x:c>
      <x:c r="F24" s="4" t="inlineStr">
        <x:is>
          <x:t xml:space="preserve">без инфляции</x:t>
        </x:is>
      </x:c>
    </x:row>
    <x:row r="26">
      <x:c r="A26" s="7" t="inlineStr">
        <x:is>
          <x:t xml:space="preserve">Минимальный пример строки</x:t>
        </x:is>
      </x:c>
    </x:row>
    <x:row r="27">
      <x:c r="A27" s="5" t="inlineStr">
        <x:is>
          <x:t xml:space="preserve">edge_id</x:t>
        </x:is>
      </x:c>
      <x:c r="B27" s="5" t="inlineStr">
        <x:is>
          <x:t xml:space="preserve">from_id</x:t>
        </x:is>
      </x:c>
      <x:c r="C27" s="5" t="inlineStr">
        <x:is>
          <x:t xml:space="preserve">predicate_id</x:t>
        </x:is>
      </x:c>
      <x:c r="D27" s="5" t="inlineStr">
        <x:is>
          <x:t xml:space="preserve">to_id</x:t>
        </x:is>
      </x:c>
      <x:c r="E27" s="5" t="inlineStr">
        <x:is>
          <x:t xml:space="preserve">layer</x:t>
        </x:is>
      </x:c>
      <x:c r="F27" s="5" t="inlineStr">
        <x:is>
          <x:t xml:space="preserve">anchor_source_secondary</x:t>
        </x:is>
      </x:c>
      <x:c r="G27" s="5" t="inlineStr">
        <x:is>
          <x:t xml:space="preserve">segment_id</x:t>
        </x:is>
      </x:c>
    </x:row>
    <x:row r="28">
      <x:c r="A28" s="6" t="inlineStr">
        <x:is>
          <x:t xml:space="preserve">e63</x:t>
        </x:is>
      </x:c>
      <x:c r="B28" s="4" t="inlineStr">
        <x:is>
          <x:t xml:space="preserve">n.humans</x:t>
        </x:is>
      </x:c>
      <x:c r="C28" s="4" t="inlineStr">
        <x:is>
          <x:t xml:space="preserve">names_descent_as</x:t>
        </x:is>
      </x:c>
      <x:c r="D28" s="4" t="inlineStr">
        <x:is>
          <x:t xml:space="preserve">n.go_under</x:t>
        </x:is>
      </x:c>
      <x:c r="E28" s="4" t="inlineStr">
        <x:is>
          <x:t xml:space="preserve">source_linked</x:t>
        </x:is>
      </x:c>
      <x:c r="F28" s="4" t="inlineStr">
        <x:is>
          <x:t xml:space="preserve">1,1,1,8</x:t>
        </x:is>
      </x:c>
      <x:c r="G28" s="4" t="inlineStr">
        <x:is>
          <x:t xml:space="preserve">seg.1.1.1.8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0f4a8054abf243e5"/>
    <x:tablePart xmlns:r="http://schemas.openxmlformats.org/officeDocument/2006/relationships" r:id="Rfd91594823ac40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26" customWidth="1"/>
    <x:col min="7" max="7" width="26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Схема: translation_tensions</x:t>
        </x:is>
      </x:c>
    </x:row>
    <x:row r="2" ht="20" customHeight="1">
      <x:c r="A2" s="2" t="inlineStr">
        <x:is>
          <x:t xml:space="preserve">Только philosophically load-bearing drift.</x:t>
        </x:is>
      </x:c>
    </x:row>
    <x:row r="4">
      <x:c r="A4" s="3" t="inlineStr">
        <x:is>
          <x:t xml:space="preserve">Таблица</x:t>
        </x:is>
      </x:c>
      <x:c r="B4" s="4" t="inlineStr">
        <x:is>
          <x:t xml:space="preserve">translation_tensions</x:t>
        </x:is>
      </x:c>
    </x:row>
    <x:row r="5">
      <x:c r="A5" s="3" t="inlineStr">
        <x:is>
          <x:t xml:space="preserve">Волна</x:t>
        </x:is>
      </x:c>
      <x:c r="B5" s="4" t="inlineStr">
        <x:is>
          <x:t xml:space="preserve">фундаментальный+</x:t>
        </x:is>
      </x:c>
    </x:row>
    <x:row r="6">
      <x:c r="A6" s="3" t="inlineStr">
        <x:is>
          <x:t xml:space="preserve">Назначение</x:t>
        </x:is>
      </x:c>
      <x:c r="B6" s="4" t="inlineStr">
        <x:is>
          <x:t xml:space="preserve">фиксировать те места, где drift между witness-слоями реально меняет вес мысли</x:t>
        </x:is>
      </x:c>
    </x:row>
    <x:row r="7">
      <x:c r="A7" s="3" t="inlineStr">
        <x:is>
          <x:t xml:space="preserve">Обязательность</x:t>
        </x:is>
      </x:c>
      <x:c r="B7" s="4" t="inlineStr">
        <x:is>
          <x:t xml:space="preserve">заводить сразу, но скупо</x:t>
        </x:is>
      </x:c>
    </x:row>
    <x:row r="8">
      <x:c r="A8" s="3" t="inlineStr">
        <x:is>
          <x:t xml:space="preserve">Первичный ключ</x:t>
        </x:is>
      </x:c>
      <x:c r="B8" s="4" t="inlineStr">
        <x:is>
          <x:t xml:space="preserve">tension_id</x:t>
        </x:is>
      </x:c>
    </x:row>
    <x:row r="9">
      <x:c r="A9" s="3" t="inlineStr">
        <x:is>
          <x:t xml:space="preserve">Зависит от</x:t>
        </x:is>
      </x:c>
      <x:c r="B9" s="4" t="inlineStr">
        <x:is>
          <x:t xml:space="preserve">witnesses, segments, nodes/glosses</x:t>
        </x:is>
      </x:c>
    </x:row>
    <x:row r="10">
      <x:c r="A10" s="3" t="inlineStr">
        <x:is>
          <x:t xml:space="preserve">Когда спавнить</x:t>
        </x:is>
      </x:c>
      <x:c r="B10" s="4" t="inlineStr">
        <x:is>
          <x:t xml:space="preserve">когда drift нельзя честно спрятать в обычную нормализацию</x:t>
        </x:is>
      </x:c>
    </x:row>
    <x:row r="11">
      <x:c r="A11" s="3" t="inlineStr">
        <x:is>
          <x:t xml:space="preserve">Правило заполнения</x:t>
        </x:is>
      </x:c>
      <x:c r="B11" s="4" t="inlineStr">
        <x:is>
          <x:t xml:space="preserve">не превращать в склад всех различий; только нагрузочные швы</x:t>
        </x:is>
      </x:c>
    </x:row>
    <x:row r="13">
      <x:c r="A13" s="7" t="inlineStr">
        <x:is>
          <x:t xml:space="preserve">Поля</x:t>
        </x:is>
      </x:c>
    </x:row>
    <x:row r="14">
      <x:c r="A14" s="5" t="inlineStr">
        <x:is>
          <x:t xml:space="preserve">Поле</x:t>
        </x:is>
      </x:c>
      <x:c r="B14" s="5" t="inlineStr">
        <x:is>
          <x:t xml:space="preserve">Обязат.</x:t>
        </x:is>
      </x:c>
      <x:c r="C14" s="5" t="inlineStr">
        <x:is>
          <x:t xml:space="preserve">Тип</x:t>
        </x:is>
      </x:c>
      <x:c r="D14" s="5" t="inlineStr">
        <x:is>
          <x:t xml:space="preserve">Описание</x:t>
        </x:is>
      </x:c>
      <x:c r="E14" s="5" t="inlineStr">
        <x:is>
          <x:t xml:space="preserve">Пример</x:t>
        </x:is>
      </x:c>
      <x:c r="F14" s="5" t="inlineStr">
        <x:is>
          <x:t xml:space="preserve">Правило</x:t>
        </x:is>
      </x:c>
    </x:row>
    <x:row r="15">
      <x:c r="A15" s="6" t="inlineStr">
        <x:is>
          <x:t xml:space="preserve">tension_id</x:t>
        </x:is>
      </x:c>
      <x:c r="B15" s="4" t="inlineStr">
        <x:is>
          <x:t xml:space="preserve">да</x:t>
        </x:is>
      </x:c>
      <x:c r="C15" s="4" t="inlineStr">
        <x:is>
          <x:t xml:space="preserve">string</x:t>
        </x:is>
      </x:c>
      <x:c r="D15" s="4" t="inlineStr">
        <x:is>
          <x:t xml:space="preserve">id tension-а</x:t>
        </x:is>
      </x:c>
      <x:c r="E15" s="4" t="inlineStr">
        <x:is>
          <x:t xml:space="preserve">tt.untergehen</x:t>
        </x:is>
      </x:c>
      <x:c r="F15" s="4" t="inlineStr">
        <x:is>
          <x:t xml:space="preserve">стабилен</x:t>
        </x:is>
      </x:c>
    </x:row>
    <x:row r="16">
      <x:c r="A16" s="6" t="inlineStr">
        <x:is>
          <x:t xml:space="preserve">segment_id</x:t>
        </x:is>
      </x:c>
      <x:c r="B16" s="4" t="inlineStr">
        <x:is>
          <x:t xml:space="preserve">да</x:t>
        </x:is>
      </x:c>
      <x:c r="C16" s="4" t="inlineStr">
        <x:is>
          <x:t xml:space="preserve">string</x:t>
        </x:is>
      </x:c>
      <x:c r="D16" s="4" t="inlineStr">
        <x:is>
          <x:t xml:space="preserve">сегмент привязки</x:t>
        </x:is>
      </x:c>
      <x:c r="E16" s="4" t="inlineStr">
        <x:is>
          <x:t xml:space="preserve">seg.1.1.1.8</x:t>
        </x:is>
      </x:c>
      <x:c r="F16" s="4" t="inlineStr">
        <x:is>
          <x:t xml:space="preserve">где tension живет</x:t>
        </x:is>
      </x:c>
    </x:row>
    <x:row r="17">
      <x:c r="A17" s="6" t="inlineStr">
        <x:is>
          <x:t xml:space="preserve">source_secondary</x:t>
        </x:is>
      </x:c>
      <x:c r="B17" s="4" t="inlineStr">
        <x:is>
          <x:t xml:space="preserve">да</x:t>
        </x:is>
      </x:c>
      <x:c r="C17" s="4" t="inlineStr">
        <x:is>
          <x:t xml:space="preserve">string</x:t>
        </x:is>
      </x:c>
      <x:c r="D17" s="4" t="inlineStr">
        <x:is>
          <x:t xml:space="preserve">вторичный адрес</x:t>
        </x:is>
      </x:c>
      <x:c r="E17" s="4" t="inlineStr">
        <x:is>
          <x:t xml:space="preserve">1,1,1,8</x:t>
        </x:is>
      </x:c>
      <x:c r="F17" s="4" t="inlineStr">
        <x:is>
          <x:t xml:space="preserve">быстрый anchor</x:t>
        </x:is>
      </x:c>
    </x:row>
    <x:row r="18">
      <x:c r="A18" s="6" t="inlineStr">
        <x:is>
          <x:t xml:space="preserve">surface_de</x:t>
        </x:is>
      </x:c>
      <x:c r="B18" s="4" t="inlineStr">
        <x:is>
          <x:t xml:space="preserve">да</x:t>
        </x:is>
      </x:c>
      <x:c r="C18" s="4" t="inlineStr">
        <x:is>
          <x:t xml:space="preserve">string</x:t>
        </x:is>
      </x:c>
      <x:c r="D18" s="4" t="inlineStr">
        <x:is>
          <x:t xml:space="preserve">немецкая поверхность</x:t>
        </x:is>
      </x:c>
      <x:c r="E18" s="4" t="inlineStr">
        <x:is>
          <x:t xml:space="preserve">untergehen</x:t>
        </x:is>
      </x:c>
      <x:c r="F18" s="4" t="inlineStr">
        <x:is>
          <x:t xml:space="preserve">обязательна для de source</x:t>
        </x:is>
      </x:c>
    </x:row>
    <x:row r="19">
      <x:c r="A19" s="6" t="inlineStr">
        <x:is>
          <x:t xml:space="preserve">surface_ru</x:t>
        </x:is>
      </x:c>
      <x:c r="B19" s="4" t="inlineStr">
        <x:is>
          <x:t xml:space="preserve">нет</x:t>
        </x:is>
      </x:c>
      <x:c r="C19" s="4" t="inlineStr">
        <x:is>
          <x:t xml:space="preserve">string</x:t>
        </x:is>
      </x:c>
      <x:c r="D19" s="4" t="inlineStr">
        <x:is>
          <x:t xml:space="preserve">русская поверхность</x:t>
        </x:is>
      </x:c>
      <x:c r="E19" s="4" t="inlineStr">
        <x:is>
          <x:t xml:space="preserve">закатиться</x:t>
        </x:is>
      </x:c>
      <x:c r="F19" s="4" t="inlineStr">
        <x:is>
          <x:t xml:space="preserve">если есть</x:t>
        </x:is>
      </x:c>
    </x:row>
    <x:row r="20">
      <x:c r="A20" s="6" t="inlineStr">
        <x:is>
          <x:t xml:space="preserve">surface_en</x:t>
        </x:is>
      </x:c>
      <x:c r="B20" s="4" t="inlineStr">
        <x:is>
          <x:t xml:space="preserve">нет</x:t>
        </x:is>
      </x:c>
      <x:c r="C20" s="4" t="inlineStr">
        <x:is>
          <x:t xml:space="preserve">string</x:t>
        </x:is>
      </x:c>
      <x:c r="D20" s="4" t="inlineStr">
        <x:is>
          <x:t xml:space="preserve">английская поверхность</x:t>
        </x:is>
      </x:c>
      <x:c r="E20" s="4" t="inlineStr">
        <x:is>
          <x:t xml:space="preserve">go under</x:t>
        </x:is>
      </x:c>
      <x:c r="F20" s="4" t="inlineStr">
        <x:is>
          <x:t xml:space="preserve">если есть</x:t>
        </x:is>
      </x:c>
    </x:row>
    <x:row r="21">
      <x:c r="A21" s="6" t="inlineStr">
        <x:is>
          <x:t xml:space="preserve">normalized_core</x:t>
        </x:is>
      </x:c>
      <x:c r="B21" s="4" t="inlineStr">
        <x:is>
          <x:t xml:space="preserve">да</x:t>
        </x:is>
      </x:c>
      <x:c r="C21" s="4" t="inlineStr">
        <x:is>
          <x:t xml:space="preserve">string</x:t>
        </x:is>
      </x:c>
      <x:c r="D21" s="4" t="inlineStr">
        <x:is>
          <x:t xml:space="preserve">что нормализуем</x:t>
        </x:is>
      </x:c>
      <x:c r="E21" s="4" t="inlineStr">
        <x:is>
          <x:t xml:space="preserve">go_under</x:t>
        </x:is>
      </x:c>
      <x:c r="F21" s="4" t="inlineStr">
        <x:is>
          <x:t xml:space="preserve">ядро</x:t>
        </x:is>
      </x:c>
    </x:row>
    <x:row r="22">
      <x:c r="A22" s="6" t="inlineStr">
        <x:is>
          <x:t xml:space="preserve">why_load_bearing</x:t>
        </x:is>
      </x:c>
      <x:c r="B22" s="4" t="inlineStr">
        <x:is>
          <x:t xml:space="preserve">да</x:t>
        </x:is>
      </x:c>
      <x:c r="C22" s="4" t="inlineStr">
        <x:is>
          <x:t xml:space="preserve">text</x:t>
        </x:is>
      </x:c>
      <x:c r="D22" s="4" t="inlineStr">
        <x:is>
          <x:t xml:space="preserve">почему это важно</x:t>
        </x:is>
      </x:c>
      <x:c r="E22" s="4" t="inlineStr">
        <x:is>
          <x:t xml:space="preserve">человеческое имя нисхождения, не поражение</x:t>
        </x:is>
      </x:c>
      <x:c r="F22" s="4" t="inlineStr">
        <x:is>
          <x:t xml:space="preserve">обязательно объяснить</x:t>
        </x:is>
      </x:c>
    </x:row>
    <x:row r="23">
      <x:c r="A23" s="6" t="inlineStr">
        <x:is>
          <x:t xml:space="preserve">decision_status</x:t>
        </x:is>
      </x:c>
      <x:c r="B23" s="4" t="inlineStr">
        <x:is>
          <x:t xml:space="preserve">нет</x:t>
        </x:is>
      </x:c>
      <x:c r="C23" s="4" t="inlineStr">
        <x:is>
          <x:t xml:space="preserve">enum</x:t>
        </x:is>
      </x:c>
      <x:c r="D23" s="4" t="inlineStr">
        <x:is>
          <x:t xml:space="preserve">open / bounded / stabilized</x:t>
        </x:is>
      </x:c>
      <x:c r="E23" s="4" t="inlineStr">
        <x:is>
          <x:t xml:space="preserve">bounded</x:t>
        </x:is>
      </x:c>
      <x:c r="F23" s="4" t="inlineStr">
        <x:is>
          <x:t xml:space="preserve">степень фиксации</x:t>
        </x:is>
      </x:c>
    </x:row>
    <x:row r="24">
      <x:c r="A24" s="6" t="inlineStr">
        <x:is>
          <x:t xml:space="preserve">preferred_handling</x:t>
        </x:is>
      </x:c>
      <x:c r="B24" s="4" t="inlineStr">
        <x:is>
          <x:t xml:space="preserve">нет</x:t>
        </x:is>
      </x:c>
      <x:c r="C24" s="4" t="inlineStr">
        <x:is>
          <x:t xml:space="preserve">text</x:t>
        </x:is>
      </x:c>
      <x:c r="D24" s="4" t="inlineStr">
        <x:is>
          <x:t xml:space="preserve">как обращаться с drift</x:t>
        </x:is>
      </x:c>
      <x:c r="E24" s="4" t="inlineStr">
        <x:is>
          <x:t xml:space="preserve">держать tension видимым</x:t>
        </x:is>
      </x:c>
      <x:c r="F24" s="4" t="inlineStr">
        <x:is>
          <x:t xml:space="preserve">рабочее решение</x:t>
        </x:is>
      </x:c>
    </x:row>
    <x:row r="26">
      <x:c r="A26" s="7" t="inlineStr">
        <x:is>
          <x:t xml:space="preserve">Минимальный пример строки</x:t>
        </x:is>
      </x:c>
    </x:row>
    <x:row r="27">
      <x:c r="A27" s="5" t="inlineStr">
        <x:is>
          <x:t xml:space="preserve">tension_id</x:t>
        </x:is>
      </x:c>
      <x:c r="B27" s="5" t="inlineStr">
        <x:is>
          <x:t xml:space="preserve">segment_id</x:t>
        </x:is>
      </x:c>
      <x:c r="C27" s="5" t="inlineStr">
        <x:is>
          <x:t xml:space="preserve">surface_de</x:t>
        </x:is>
      </x:c>
      <x:c r="D27" s="5" t="inlineStr">
        <x:is>
          <x:t xml:space="preserve">surface_ru</x:t>
        </x:is>
      </x:c>
      <x:c r="E27" s="5" t="inlineStr">
        <x:is>
          <x:t xml:space="preserve">surface_en</x:t>
        </x:is>
      </x:c>
      <x:c r="F27" s="5" t="inlineStr">
        <x:is>
          <x:t xml:space="preserve">normalized_core</x:t>
        </x:is>
      </x:c>
      <x:c r="G27" s="5" t="inlineStr">
        <x:is>
          <x:t xml:space="preserve">why_load_bearing</x:t>
        </x:is>
      </x:c>
    </x:row>
    <x:row r="28">
      <x:c r="A28" s="6" t="inlineStr">
        <x:is>
          <x:t xml:space="preserve">tt.untergehen</x:t>
        </x:is>
      </x:c>
      <x:c r="B28" s="4" t="inlineStr">
        <x:is>
          <x:t xml:space="preserve">seg.1.1.1.8</x:t>
        </x:is>
      </x:c>
      <x:c r="C28" s="4" t="inlineStr">
        <x:is>
          <x:t xml:space="preserve">untergehen</x:t>
        </x:is>
      </x:c>
      <x:c r="D28" s="4" t="inlineStr">
        <x:is>
          <x:t xml:space="preserve">закатиться</x:t>
        </x:is>
      </x:c>
      <x:c r="E28" s="4" t="inlineStr">
        <x:is>
          <x:t xml:space="preserve">go under</x:t>
        </x:is>
      </x:c>
      <x:c r="F28" s="4" t="inlineStr">
        <x:is>
          <x:t xml:space="preserve">go_under</x:t>
        </x:is>
      </x:c>
      <x:c r="G28" s="4" t="inlineStr">
        <x:is>
          <x:t xml:space="preserve">узловой термин нисхождения и его людского имени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6ff9b812ee8c4650"/>
    <x:tablePart xmlns:r="http://schemas.openxmlformats.org/officeDocument/2006/relationships" r:id="Ra9f4b99a90204f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26" customWidth="1"/>
    <x:col min="7" max="7" width="26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Схема: witness_glosses</x:t>
        </x:is>
      </x:c>
    </x:row>
    <x:row r="2" ht="20" customHeight="1">
      <x:c r="A2" s="2" t="inlineStr">
        <x:is>
          <x:t xml:space="preserve">Необязательный, но очень полезный слой для лексической поверхности.</x:t>
        </x:is>
      </x:c>
    </x:row>
    <x:row r="4">
      <x:c r="A4" s="3" t="inlineStr">
        <x:is>
          <x:t xml:space="preserve">Таблица</x:t>
        </x:is>
      </x:c>
      <x:c r="B4" s="4" t="inlineStr">
        <x:is>
          <x:t xml:space="preserve">witness_glosses</x:t>
        </x:is>
      </x:c>
    </x:row>
    <x:row r="5">
      <x:c r="A5" s="3" t="inlineStr">
        <x:is>
          <x:t xml:space="preserve">Волна</x:t>
        </x:is>
      </x:c>
      <x:c r="B5" s="4" t="inlineStr">
        <x:is>
          <x:t xml:space="preserve">вторая волна</x:t>
        </x:is>
      </x:c>
    </x:row>
    <x:row r="6">
      <x:c r="A6" s="3" t="inlineStr">
        <x:is>
          <x:t xml:space="preserve">Назначение</x:t>
        </x:is>
      </x:c>
      <x:c r="B6" s="4" t="inlineStr">
        <x:is>
          <x:t xml:space="preserve">сохранять точные witness-specific формулировки там, где они не должны растворяться</x:t>
        </x:is>
      </x:c>
    </x:row>
    <x:row r="7">
      <x:c r="A7" s="3" t="inlineStr">
        <x:is>
          <x:t xml:space="preserve">Обязательность</x:t>
        </x:is>
      </x:c>
      <x:c r="B7" s="4" t="inlineStr">
        <x:is>
          <x:t xml:space="preserve">по мере сгущения</x:t>
        </x:is>
      </x:c>
    </x:row>
    <x:row r="8">
      <x:c r="A8" s="3" t="inlineStr">
        <x:is>
          <x:t xml:space="preserve">Первичный ключ</x:t>
        </x:is>
      </x:c>
      <x:c r="B8" s="4" t="inlineStr">
        <x:is>
          <x:t xml:space="preserve">gloss_id</x:t>
        </x:is>
      </x:c>
    </x:row>
    <x:row r="9">
      <x:c r="A9" s="3" t="inlineStr">
        <x:is>
          <x:t xml:space="preserve">Зависит от</x:t>
        </x:is>
      </x:c>
      <x:c r="B9" s="4" t="inlineStr">
        <x:is>
          <x:t xml:space="preserve">witnesses, segments</x:t>
        </x:is>
      </x:c>
    </x:row>
    <x:row r="10">
      <x:c r="A10" s="3" t="inlineStr">
        <x:is>
          <x:t xml:space="preserve">Когда спавнить</x:t>
        </x:is>
      </x:c>
      <x:c r="B10" s="4" t="inlineStr">
        <x:is>
          <x:t xml:space="preserve">когда формулировка сама по себе значима</x:t>
        </x:is>
      </x:c>
    </x:row>
    <x:row r="11">
      <x:c r="A11" s="3" t="inlineStr">
        <x:is>
          <x:t xml:space="preserve">Правило заполнения</x:t>
        </x:is>
      </x:c>
      <x:c r="B11" s="4" t="inlineStr">
        <x:is>
          <x:t xml:space="preserve">одна строка = одна лексическая поверхность; не превращать gloss в самостоятельный concept без нужды</x:t>
        </x:is>
      </x:c>
    </x:row>
    <x:row r="13">
      <x:c r="A13" s="7" t="inlineStr">
        <x:is>
          <x:t xml:space="preserve">Поля</x:t>
        </x:is>
      </x:c>
    </x:row>
    <x:row r="14">
      <x:c r="A14" s="5" t="inlineStr">
        <x:is>
          <x:t xml:space="preserve">Поле</x:t>
        </x:is>
      </x:c>
      <x:c r="B14" s="5" t="inlineStr">
        <x:is>
          <x:t xml:space="preserve">Обязат.</x:t>
        </x:is>
      </x:c>
      <x:c r="C14" s="5" t="inlineStr">
        <x:is>
          <x:t xml:space="preserve">Тип</x:t>
        </x:is>
      </x:c>
      <x:c r="D14" s="5" t="inlineStr">
        <x:is>
          <x:t xml:space="preserve">Описание</x:t>
        </x:is>
      </x:c>
      <x:c r="E14" s="5" t="inlineStr">
        <x:is>
          <x:t xml:space="preserve">Пример</x:t>
        </x:is>
      </x:c>
      <x:c r="F14" s="5" t="inlineStr">
        <x:is>
          <x:t xml:space="preserve">Правило</x:t>
        </x:is>
      </x:c>
    </x:row>
    <x:row r="15">
      <x:c r="A15" s="6" t="inlineStr">
        <x:is>
          <x:t xml:space="preserve">gloss_id</x:t>
        </x:is>
      </x:c>
      <x:c r="B15" s="4" t="inlineStr">
        <x:is>
          <x:t xml:space="preserve">да</x:t>
        </x:is>
      </x:c>
      <x:c r="C15" s="4" t="inlineStr">
        <x:is>
          <x:t xml:space="preserve">string</x:t>
        </x:is>
      </x:c>
      <x:c r="D15" s="4" t="inlineStr">
        <x:is>
          <x:t xml:space="preserve">id gloss-а</x:t>
        </x:is>
      </x:c>
      <x:c r="E15" s="4" t="inlineStr">
        <x:is>
          <x:t xml:space="preserve">g.1.enjoyment</x:t>
        </x:is>
      </x:c>
      <x:c r="F15" s="4" t="inlineStr">
        <x:is>
          <x:t xml:space="preserve">стабилен</x:t>
        </x:is>
      </x:c>
    </x:row>
    <x:row r="16">
      <x:c r="A16" s="6" t="inlineStr">
        <x:is>
          <x:t xml:space="preserve">witness_id</x:t>
        </x:is>
      </x:c>
      <x:c r="B16" s="4" t="inlineStr">
        <x:is>
          <x:t xml:space="preserve">да</x:t>
        </x:is>
      </x:c>
      <x:c r="C16" s="4" t="inlineStr">
        <x:is>
          <x:t xml:space="preserve">string</x:t>
        </x:is>
      </x:c>
      <x:c r="D16" s="4" t="inlineStr">
        <x:is>
          <x:t xml:space="preserve">какому witness принадлежит</x:t>
        </x:is>
      </x:c>
      <x:c r="E16" s="4" t="inlineStr">
        <x:is>
          <x:t xml:space="preserve">w.ru.dionysus.translation.v1</x:t>
        </x:is>
      </x:c>
      <x:c r="F16" s="4" t="inlineStr">
        <x:is>
          <x:t xml:space="preserve">явная provenance</x:t>
        </x:is>
      </x:c>
    </x:row>
    <x:row r="17">
      <x:c r="A17" s="6" t="inlineStr">
        <x:is>
          <x:t xml:space="preserve">segment_id</x:t>
        </x:is>
      </x:c>
      <x:c r="B17" s="4" t="inlineStr">
        <x:is>
          <x:t xml:space="preserve">да</x:t>
        </x:is>
      </x:c>
      <x:c r="C17" s="4" t="inlineStr">
        <x:is>
          <x:t xml:space="preserve">string</x:t>
        </x:is>
      </x:c>
      <x:c r="D17" s="4" t="inlineStr">
        <x:is>
          <x:t xml:space="preserve">где встречается</x:t>
        </x:is>
      </x:c>
      <x:c r="E17" s="4" t="inlineStr">
        <x:is>
          <x:t xml:space="preserve">seg.1.1.1.1</x:t>
        </x:is>
      </x:c>
      <x:c r="F17" s="4" t="inlineStr">
        <x:is>
          <x:t xml:space="preserve">anchor</x:t>
        </x:is>
      </x:c>
    </x:row>
    <x:row r="18">
      <x:c r="A18" s="6" t="inlineStr">
        <x:is>
          <x:t xml:space="preserve">source_secondary</x:t>
        </x:is>
      </x:c>
      <x:c r="B18" s="4" t="inlineStr">
        <x:is>
          <x:t xml:space="preserve">да</x:t>
        </x:is>
      </x:c>
      <x:c r="C18" s="4" t="inlineStr">
        <x:is>
          <x:t xml:space="preserve">string</x:t>
        </x:is>
      </x:c>
      <x:c r="D18" s="4" t="inlineStr">
        <x:is>
          <x:t xml:space="preserve">вторичный адрес</x:t>
        </x:is>
      </x:c>
      <x:c r="E18" s="4" t="inlineStr">
        <x:is>
          <x:t xml:space="preserve">1,1,1,1</x:t>
        </x:is>
      </x:c>
      <x:c r="F18" s="4" t="inlineStr">
        <x:is>
          <x:t xml:space="preserve">быстрый anchor</x:t>
        </x:is>
      </x:c>
    </x:row>
    <x:row r="19">
      <x:c r="A19" s="6" t="inlineStr">
        <x:is>
          <x:t xml:space="preserve">token_or_phrase</x:t>
        </x:is>
      </x:c>
      <x:c r="B19" s="4" t="inlineStr">
        <x:is>
          <x:t xml:space="preserve">да</x:t>
        </x:is>
      </x:c>
      <x:c r="C19" s="4" t="inlineStr">
        <x:is>
          <x:t xml:space="preserve">string</x:t>
        </x:is>
      </x:c>
      <x:c r="D19" s="4" t="inlineStr">
        <x:is>
          <x:t xml:space="preserve">буквальная поверхность</x:t>
        </x:is>
      </x:c>
      <x:c r="E19" s="4" t="inlineStr">
        <x:is>
          <x:t xml:space="preserve">вкушал</x:t>
        </x:is>
      </x:c>
      <x:c r="F19" s="4" t="inlineStr">
        <x:is>
          <x:t xml:space="preserve">то, что нельзя потерять</x:t>
        </x:is>
      </x:c>
    </x:row>
    <x:row r="20">
      <x:c r="A20" s="6" t="inlineStr">
        <x:is>
          <x:t xml:space="preserve">normalized_core</x:t>
        </x:is>
      </x:c>
      <x:c r="B20" s="4" t="inlineStr">
        <x:is>
          <x:t xml:space="preserve">да</x:t>
        </x:is>
      </x:c>
      <x:c r="C20" s="4" t="inlineStr">
        <x:is>
          <x:t xml:space="preserve">string</x:t>
        </x:is>
      </x:c>
      <x:c r="D20" s="4" t="inlineStr">
        <x:is>
          <x:t xml:space="preserve">какое ядро стоит за ней</x:t>
        </x:is>
      </x:c>
      <x:c r="E20" s="4" t="inlineStr">
        <x:is>
          <x:t xml:space="preserve">delights_in</x:t>
        </x:is>
      </x:c>
      <x:c r="F20" s="4" t="inlineStr">
        <x:is>
          <x:t xml:space="preserve">смысловое ядро</x:t>
        </x:is>
      </x:c>
    </x:row>
    <x:row r="21">
      <x:c r="A21" s="6" t="inlineStr">
        <x:is>
          <x:t xml:space="preserve">gloss_note</x:t>
        </x:is>
      </x:c>
      <x:c r="B21" s="4" t="inlineStr">
        <x:is>
          <x:t xml:space="preserve">нет</x:t>
        </x:is>
      </x:c>
      <x:c r="C21" s="4" t="inlineStr">
        <x:is>
          <x:t xml:space="preserve">text</x:t>
        </x:is>
      </x:c>
      <x:c r="D21" s="4" t="inlineStr">
        <x:is>
          <x:t xml:space="preserve">что эта поверхность усиливает</x:t>
        </x:is>
      </x:c>
      <x:c r="E21" s="4" t="inlineStr">
        <x:is>
          <x:t xml:space="preserve">телесность внутреннего вкушения</x:t>
        </x:is>
      </x:c>
      <x:c r="F21" s="4" t="inlineStr">
        <x:is>
          <x:t xml:space="preserve">коротко</x:t>
        </x:is>
      </x:c>
    </x:row>
    <x:row r="22">
      <x:c r="A22" s="6" t="inlineStr">
        <x:is>
          <x:t xml:space="preserve">status</x:t>
        </x:is>
      </x:c>
      <x:c r="B22" s="4" t="inlineStr">
        <x:is>
          <x:t xml:space="preserve">нет</x:t>
        </x:is>
      </x:c>
      <x:c r="C22" s="4" t="inlineStr">
        <x:is>
          <x:t xml:space="preserve">enum</x:t>
        </x:is>
      </x:c>
      <x:c r="D22" s="4" t="inlineStr">
        <x:is>
          <x:t xml:space="preserve">open / useful / stabilized</x:t>
        </x:is>
      </x:c>
      <x:c r="E22" s="4" t="inlineStr">
        <x:is>
          <x:t xml:space="preserve">useful</x:t>
        </x:is>
      </x:c>
      <x:c r="F22" s="4" t="inlineStr">
        <x:is>
          <x:t xml:space="preserve">рабочий статус</x:t>
        </x:is>
      </x:c>
    </x:row>
    <x:row r="24">
      <x:c r="A24" s="7" t="inlineStr">
        <x:is>
          <x:t xml:space="preserve">Минимальный пример строки</x:t>
        </x:is>
      </x:c>
    </x:row>
    <x:row r="25">
      <x:c r="A25" s="5" t="inlineStr">
        <x:is>
          <x:t xml:space="preserve">gloss_id</x:t>
        </x:is>
      </x:c>
      <x:c r="B25" s="5" t="inlineStr">
        <x:is>
          <x:t xml:space="preserve">witness_id</x:t>
        </x:is>
      </x:c>
      <x:c r="C25" s="5" t="inlineStr">
        <x:is>
          <x:t xml:space="preserve">segment_id</x:t>
        </x:is>
      </x:c>
      <x:c r="D25" s="5" t="inlineStr">
        <x:is>
          <x:t xml:space="preserve">token_or_phrase</x:t>
        </x:is>
      </x:c>
      <x:c r="E25" s="5" t="inlineStr">
        <x:is>
          <x:t xml:space="preserve">normalized_core</x:t>
        </x:is>
      </x:c>
      <x:c r="F25" s="5" t="inlineStr">
        <x:is>
          <x:t xml:space="preserve">gloss_note</x:t>
        </x:is>
      </x:c>
    </x:row>
    <x:row r="26">
      <x:c r="A26" s="6" t="inlineStr">
        <x:is>
          <x:t xml:space="preserve">g.1.enjoyment</x:t>
        </x:is>
      </x:c>
      <x:c r="B26" s="4" t="inlineStr">
        <x:is>
          <x:t xml:space="preserve">w.ru.dionysus.translation.v1</x:t>
        </x:is>
      </x:c>
      <x:c r="C26" s="4" t="inlineStr">
        <x:is>
          <x:t xml:space="preserve">seg.1.1.1.1</x:t>
        </x:is>
      </x:c>
      <x:c r="D26" s="4" t="inlineStr">
        <x:is>
          <x:t xml:space="preserve">вкушал</x:t>
        </x:is>
      </x:c>
      <x:c r="E26" s="4" t="inlineStr">
        <x:is>
          <x:t xml:space="preserve">delights_in</x:t>
        </x:is>
      </x:c>
      <x:c r="F26" s="4" t="inlineStr">
        <x:is>
          <x:t xml:space="preserve">усиливает телесность внутреннего вкушения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ef44b31bd2b04535"/>
    <x:tablePart xmlns:r="http://schemas.openxmlformats.org/officeDocument/2006/relationships" r:id="R5902bfd433c84de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26" customWidth="1"/>
    <x:col min="7" max="7" width="26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Схема: principles</x:t>
        </x:is>
      </x:c>
    </x:row>
    <x:row r="2" ht="20" customHeight="1">
      <x:c r="A2" s="2" t="inlineStr">
        <x:is>
          <x:t xml:space="preserve">Distilled principles и authored commentary поверх anchors.</x:t>
        </x:is>
      </x:c>
    </x:row>
    <x:row r="4">
      <x:c r="A4" s="3" t="inlineStr">
        <x:is>
          <x:t xml:space="preserve">Таблица</x:t>
        </x:is>
      </x:c>
      <x:c r="B4" s="4" t="inlineStr">
        <x:is>
          <x:t xml:space="preserve">principles</x:t>
        </x:is>
      </x:c>
    </x:row>
    <x:row r="5">
      <x:c r="A5" s="3" t="inlineStr">
        <x:is>
          <x:t xml:space="preserve">Волна</x:t>
        </x:is>
      </x:c>
      <x:c r="B5" s="4" t="inlineStr">
        <x:is>
          <x:t xml:space="preserve">вторая волна</x:t>
        </x:is>
      </x:c>
    </x:row>
    <x:row r="6">
      <x:c r="A6" s="3" t="inlineStr">
        <x:is>
          <x:t xml:space="preserve">Назначение</x:t>
        </x:is>
      </x:c>
      <x:c r="B6" s="4" t="inlineStr">
        <x:is>
          <x:t xml:space="preserve">фиксировать уже снятые принципы, не выдавая их за буквальный source fact</x:t>
        </x:is>
      </x:c>
    </x:row>
    <x:row r="7">
      <x:c r="A7" s="3" t="inlineStr">
        <x:is>
          <x:t xml:space="preserve">Обязательность</x:t>
        </x:is>
      </x:c>
      <x:c r="B7" s="4" t="inlineStr">
        <x:is>
          <x:t xml:space="preserve">по мере сгущения</x:t>
        </x:is>
      </x:c>
    </x:row>
    <x:row r="8">
      <x:c r="A8" s="3" t="inlineStr">
        <x:is>
          <x:t xml:space="preserve">Первичный ключ</x:t>
        </x:is>
      </x:c>
      <x:c r="B8" s="4" t="inlineStr">
        <x:is>
          <x:t xml:space="preserve">principle_id</x:t>
        </x:is>
      </x:c>
    </x:row>
    <x:row r="9">
      <x:c r="A9" s="3" t="inlineStr">
        <x:is>
          <x:t xml:space="preserve">Зависит от</x:t>
        </x:is>
      </x:c>
      <x:c r="B9" s="4" t="inlineStr">
        <x:is>
          <x:t xml:space="preserve">segments, nodes, event_state_nodes</x:t>
        </x:is>
      </x:c>
    </x:row>
    <x:row r="10">
      <x:c r="A10" s="3" t="inlineStr">
        <x:is>
          <x:t xml:space="preserve">Когда спавнить</x:t>
        </x:is>
      </x:c>
      <x:c r="B10" s="4" t="inlineStr">
        <x:is>
          <x:t xml:space="preserve">когда место уже удерживает принцип, а не только событие</x:t>
        </x:is>
      </x:c>
    </x:row>
    <x:row r="11">
      <x:c r="A11" s="3" t="inlineStr">
        <x:is>
          <x:t xml:space="preserve">Правило заполнения</x:t>
        </x:is>
      </x:c>
      <x:c r="B11" s="4" t="inlineStr">
        <x:is>
          <x:t xml:space="preserve">принцип должен иметь anchor и слой; без anchor это плавающий афоризм, а не ToS/KAG запись</x:t>
        </x:is>
      </x:c>
    </x:row>
    <x:row r="13">
      <x:c r="A13" s="7" t="inlineStr">
        <x:is>
          <x:t xml:space="preserve">Поля</x:t>
        </x:is>
      </x:c>
    </x:row>
    <x:row r="14">
      <x:c r="A14" s="5" t="inlineStr">
        <x:is>
          <x:t xml:space="preserve">Поле</x:t>
        </x:is>
      </x:c>
      <x:c r="B14" s="5" t="inlineStr">
        <x:is>
          <x:t xml:space="preserve">Обязат.</x:t>
        </x:is>
      </x:c>
      <x:c r="C14" s="5" t="inlineStr">
        <x:is>
          <x:t xml:space="preserve">Тип</x:t>
        </x:is>
      </x:c>
      <x:c r="D14" s="5" t="inlineStr">
        <x:is>
          <x:t xml:space="preserve">Описание</x:t>
        </x:is>
      </x:c>
      <x:c r="E14" s="5" t="inlineStr">
        <x:is>
          <x:t xml:space="preserve">Пример</x:t>
        </x:is>
      </x:c>
      <x:c r="F14" s="5" t="inlineStr">
        <x:is>
          <x:t xml:space="preserve">Правило</x:t>
        </x:is>
      </x:c>
    </x:row>
    <x:row r="15">
      <x:c r="A15" s="6" t="inlineStr">
        <x:is>
          <x:t xml:space="preserve">principle_id</x:t>
        </x:is>
      </x:c>
      <x:c r="B15" s="4" t="inlineStr">
        <x:is>
          <x:t xml:space="preserve">да</x:t>
        </x:is>
      </x:c>
      <x:c r="C15" s="4" t="inlineStr">
        <x:is>
          <x:t xml:space="preserve">string</x:t>
        </x:is>
      </x:c>
      <x:c r="D15" s="4" t="inlineStr">
        <x:is>
          <x:t xml:space="preserve">id принципа</x:t>
        </x:is>
      </x:c>
      <x:c r="E15" s="4" t="inlineStr">
        <x:is>
          <x:t xml:space="preserve">pr.descent_is_required_by_gift</x:t>
        </x:is>
      </x:c>
      <x:c r="F15" s="4" t="inlineStr">
        <x:is>
          <x:t xml:space="preserve">стабилен</x:t>
        </x:is>
      </x:c>
    </x:row>
    <x:row r="16">
      <x:c r="A16" s="6" t="inlineStr">
        <x:is>
          <x:t xml:space="preserve">layer</x:t>
        </x:is>
      </x:c>
      <x:c r="B16" s="4" t="inlineStr">
        <x:is>
          <x:t xml:space="preserve">да</x:t>
        </x:is>
      </x:c>
      <x:c r="C16" s="4" t="inlineStr">
        <x:is>
          <x:t xml:space="preserve">enum</x:t>
        </x:is>
      </x:c>
      <x:c r="D16" s="4" t="inlineStr">
        <x:is>
          <x:t xml:space="preserve">distilled_principle / authored_commentary / symbolic_reading</x:t>
        </x:is>
      </x:c>
      <x:c r="E16" s="4" t="inlineStr">
        <x:is>
          <x:t xml:space="preserve">distilled_principle</x:t>
        </x:is>
      </x:c>
      <x:c r="F16" s="4" t="inlineStr">
        <x:is>
          <x:t xml:space="preserve">режим утверждения</x:t>
        </x:is>
      </x:c>
    </x:row>
    <x:row r="17">
      <x:c r="A17" s="6" t="inlineStr">
        <x:is>
          <x:t xml:space="preserve">anchor_segments</x:t>
        </x:is>
      </x:c>
      <x:c r="B17" s="4" t="inlineStr">
        <x:is>
          <x:t xml:space="preserve">да</x:t>
        </x:is>
      </x:c>
      <x:c r="C17" s="4" t="inlineStr">
        <x:is>
          <x:t xml:space="preserve">string</x:t>
        </x:is>
      </x:c>
      <x:c r="D17" s="4" t="inlineStr">
        <x:is>
          <x:t xml:space="preserve">на какие сегменты опирается</x:t>
        </x:is>
      </x:c>
      <x:c r="E17" s="4" t="inlineStr">
        <x:is>
          <x:t xml:space="preserve">seg.1.1.1.6|seg.1.1.1.7</x:t>
        </x:is>
      </x:c>
      <x:c r="F17" s="4" t="inlineStr">
        <x:is>
          <x:t xml:space="preserve">1+ anchors</x:t>
        </x:is>
      </x:c>
    </x:row>
    <x:row r="18">
      <x:c r="A18" s="6" t="inlineStr">
        <x:is>
          <x:t xml:space="preserve">source_secondary_range</x:t>
        </x:is>
      </x:c>
      <x:c r="B18" s="4" t="inlineStr">
        <x:is>
          <x:t xml:space="preserve">да</x:t>
        </x:is>
      </x:c>
      <x:c r="C18" s="4" t="inlineStr">
        <x:is>
          <x:t xml:space="preserve">string</x:t>
        </x:is>
      </x:c>
      <x:c r="D18" s="4" t="inlineStr">
        <x:is>
          <x:t xml:space="preserve">диапазон мест</x:t>
        </x:is>
      </x:c>
      <x:c r="E18" s="4" t="inlineStr">
        <x:is>
          <x:t xml:space="preserve">1,1,1,6-1,1,1,7</x:t>
        </x:is>
      </x:c>
      <x:c r="F18" s="4" t="inlineStr">
        <x:is>
          <x:t xml:space="preserve">человеческий диапазон</x:t>
        </x:is>
      </x:c>
    </x:row>
    <x:row r="19">
      <x:c r="A19" s="6" t="inlineStr">
        <x:is>
          <x:t xml:space="preserve">formula_ru</x:t>
        </x:is>
      </x:c>
      <x:c r="B19" s="4" t="inlineStr">
        <x:is>
          <x:t xml:space="preserve">да</x:t>
        </x:is>
      </x:c>
      <x:c r="C19" s="4" t="inlineStr">
        <x:is>
          <x:t xml:space="preserve">text</x:t>
        </x:is>
      </x:c>
      <x:c r="D19" s="4" t="inlineStr">
        <x:is>
          <x:t xml:space="preserve">сжатая формула принципа</x:t>
        </x:is>
      </x:c>
      <x:c r="E19" s="4" t="inlineStr">
        <x:is>
          <x:t xml:space="preserve">подлинный дар требует нисхождения</x:t>
        </x:is>
      </x:c>
      <x:c r="F19" s="4" t="inlineStr">
        <x:is>
          <x:t xml:space="preserve">коротко и ясно</x:t>
        </x:is>
      </x:c>
    </x:row>
    <x:row r="20">
      <x:c r="A20" s="6" t="inlineStr">
        <x:is>
          <x:t xml:space="preserve">supporting_ids</x:t>
        </x:is>
      </x:c>
      <x:c r="B20" s="4" t="inlineStr">
        <x:is>
          <x:t xml:space="preserve">нет</x:t>
        </x:is>
      </x:c>
      <x:c r="C20" s="4" t="inlineStr">
        <x:is>
          <x:t xml:space="preserve">string</x:t>
        </x:is>
      </x:c>
      <x:c r="D20" s="4" t="inlineStr">
        <x:is>
          <x:t xml:space="preserve">какие узлы/ивенты его поддерживают</x:t>
        </x:is>
      </x:c>
      <x:c r="E20" s="4" t="inlineStr">
        <x:is>
          <x:t xml:space="preserve">ev.p6.bestow_and_distribute|ev.p7.descend_into_depth</x:t>
        </x:is>
      </x:c>
      <x:c r="F20" s="4" t="inlineStr">
        <x:is>
          <x:t xml:space="preserve">join к графу</x:t>
        </x:is>
      </x:c>
    </x:row>
    <x:row r="21">
      <x:c r="A21" s="6" t="inlineStr">
        <x:is>
          <x:t xml:space="preserve">status</x:t>
        </x:is>
      </x:c>
      <x:c r="B21" s="4" t="inlineStr">
        <x:is>
          <x:t xml:space="preserve">нет</x:t>
        </x:is>
      </x:c>
      <x:c r="C21" s="4" t="inlineStr">
        <x:is>
          <x:t xml:space="preserve">enum</x:t>
        </x:is>
      </x:c>
      <x:c r="D21" s="4" t="inlineStr">
        <x:is>
          <x:t xml:space="preserve">open / bounded / stabilized</x:t>
        </x:is>
      </x:c>
      <x:c r="E21" s="4" t="inlineStr">
        <x:is>
          <x:t xml:space="preserve">bounded</x:t>
        </x:is>
      </x:c>
      <x:c r="F21" s="4" t="inlineStr">
        <x:is>
          <x:t xml:space="preserve">степень фиксации</x:t>
        </x:is>
      </x:c>
    </x:row>
    <x:row r="22">
      <x:c r="A22" s="6" t="inlineStr">
        <x:is>
          <x:t xml:space="preserve">note</x:t>
        </x:is>
      </x:c>
      <x:c r="B22" s="4" t="inlineStr">
        <x:is>
          <x:t xml:space="preserve">нет</x:t>
        </x:is>
      </x:c>
      <x:c r="C22" s="4" t="inlineStr">
        <x:is>
          <x:t xml:space="preserve">text</x:t>
        </x:is>
      </x:c>
      <x:c r="D22" s="4" t="inlineStr">
        <x:is>
          <x:t xml:space="preserve">служебная помета</x:t>
        </x:is>
      </x:c>
      <x:c r="E22" s="4" t="inlineStr">
        <x:is>
          <x:t xml:space="preserve">не выдавать за source fact</x:t>
        </x:is>
      </x:c>
      <x:c r="F22" s="4" t="inlineStr">
        <x:is>
          <x:t xml:space="preserve">если нужно</x:t>
        </x:is>
      </x:c>
    </x:row>
    <x:row r="24">
      <x:c r="A24" s="7" t="inlineStr">
        <x:is>
          <x:t xml:space="preserve">Минимальный пример строки</x:t>
        </x:is>
      </x:c>
    </x:row>
    <x:row r="25">
      <x:c r="A25" s="5" t="inlineStr">
        <x:is>
          <x:t xml:space="preserve">principle_id</x:t>
        </x:is>
      </x:c>
      <x:c r="B25" s="5" t="inlineStr">
        <x:is>
          <x:t xml:space="preserve">layer</x:t>
        </x:is>
      </x:c>
      <x:c r="C25" s="5" t="inlineStr">
        <x:is>
          <x:t xml:space="preserve">anchor_segments</x:t>
        </x:is>
      </x:c>
      <x:c r="D25" s="5" t="inlineStr">
        <x:is>
          <x:t xml:space="preserve">formula_ru</x:t>
        </x:is>
      </x:c>
      <x:c r="E25" s="5" t="inlineStr">
        <x:is>
          <x:t xml:space="preserve">supporting_ids</x:t>
        </x:is>
      </x:c>
      <x:c r="F25" s="5" t="inlineStr">
        <x:is>
          <x:t xml:space="preserve">status</x:t>
        </x:is>
      </x:c>
    </x:row>
    <x:row r="26">
      <x:c r="A26" s="6" t="inlineStr">
        <x:is>
          <x:t xml:space="preserve">pr.descent_is_required_by_gift</x:t>
        </x:is>
      </x:c>
      <x:c r="B26" s="4" t="inlineStr">
        <x:is>
          <x:t xml:space="preserve">distilled_principle</x:t>
        </x:is>
      </x:c>
      <x:c r="C26" s="4" t="inlineStr">
        <x:is>
          <x:t xml:space="preserve">seg.1.1.1.6|seg.1.1.1.7</x:t>
        </x:is>
      </x:c>
      <x:c r="D26" s="4" t="inlineStr">
        <x:is>
          <x:t xml:space="preserve">подлинный дар требует нисхождения</x:t>
        </x:is>
      </x:c>
      <x:c r="E26" s="4" t="inlineStr">
        <x:is>
          <x:t xml:space="preserve">ev.p6.bestow_and_distribute|ev.p7.descend_into_depth</x:t>
        </x:is>
      </x:c>
      <x:c r="F26" s="4" t="inlineStr">
        <x:is>
          <x:t xml:space="preserve">bounded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104067de2f40479a"/>
    <x:tablePart xmlns:r="http://schemas.openxmlformats.org/officeDocument/2006/relationships" r:id="R5a40dbd3fb7341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26" customWidth="1"/>
    <x:col min="7" max="7" width="26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Правила спавна новых таблиц</x:t>
        </x:is>
      </x:c>
    </x:row>
    <x:row r="2" ht="20" customHeight="1">
      <x:c r="A2" s="2" t="inlineStr">
        <x:is>
          <x:t xml:space="preserve">Когда создавать новую таблицу, а когда не создавать.</x:t>
        </x:is>
      </x:c>
    </x:row>
    <x:row r="4">
      <x:c r="A4" s="3" t="inlineStr">
        <x:is>
          <x:t xml:space="preserve">Таблица</x:t>
        </x:is>
      </x:c>
      <x:c r="B4" s="4" t="inlineStr">
        <x:is>
          <x:t xml:space="preserve">growth_rules</x:t>
        </x:is>
      </x:c>
    </x:row>
    <x:row r="5">
      <x:c r="A5" s="3" t="inlineStr">
        <x:is>
          <x:t xml:space="preserve">Волна</x:t>
        </x:is>
      </x:c>
      <x:c r="B5" s="4" t="inlineStr">
        <x:is>
          <x:t xml:space="preserve">мета-слой</x:t>
        </x:is>
      </x:c>
    </x:row>
    <x:row r="6">
      <x:c r="A6" s="3" t="inlineStr">
        <x:is>
          <x:t xml:space="preserve">Назначение</x:t>
        </x:is>
      </x:c>
      <x:c r="B6" s="4" t="inlineStr">
        <x:is>
          <x:t xml:space="preserve">не дать проекту распухнуть и в то же время не зажать рост</x:t>
        </x:is>
      </x:c>
    </x:row>
    <x:row r="7">
      <x:c r="A7" s="3" t="inlineStr">
        <x:is>
          <x:t xml:space="preserve">Обязательность</x:t>
        </x:is>
      </x:c>
      <x:c r="B7" s="4" t="inlineStr">
        <x:is>
          <x:t xml:space="preserve">держать рядом с самого начала</x:t>
        </x:is>
      </x:c>
    </x:row>
    <x:row r="8">
      <x:c r="A8" s="3" t="inlineStr">
        <x:is>
          <x:t xml:space="preserve">Первичный ключ</x:t>
        </x:is>
      </x:c>
      <x:c r="B8" s="4" t="inlineStr">
        <x:is>
          <x:t xml:space="preserve">rule_id</x:t>
        </x:is>
      </x:c>
    </x:row>
    <x:row r="9">
      <x:c r="A9" s="3" t="inlineStr">
        <x:is>
          <x:t xml:space="preserve">Зависит от</x:t>
        </x:is>
      </x:c>
      <x:c r="B9" s="4" t="inlineStr">
        <x:is>
          <x:t xml:space="preserve">весь проект</x:t>
        </x:is>
      </x:c>
    </x:row>
    <x:row r="10">
      <x:c r="A10" s="3" t="inlineStr">
        <x:is>
          <x:t xml:space="preserve">Когда спавнить</x:t>
        </x:is>
      </x:c>
      <x:c r="B10" s="4" t="inlineStr">
        <x:is>
          <x:t xml:space="preserve">не спавнится; это регулятор</x:t>
        </x:is>
      </x:c>
    </x:row>
    <x:row r="11">
      <x:c r="A11" s="3" t="inlineStr">
        <x:is>
          <x:t xml:space="preserve">Правило заполнения</x:t>
        </x:is>
      </x:c>
      <x:c r="B11" s="4" t="inlineStr">
        <x:is>
          <x:t xml:space="preserve">каждая новая таблица должна пройти тест пользы</x:t>
        </x:is>
      </x:c>
    </x:row>
    <x:row r="13">
      <x:c r="A13" s="7" t="inlineStr">
        <x:is>
          <x:t xml:space="preserve">Поля</x:t>
        </x:is>
      </x:c>
    </x:row>
    <x:row r="14">
      <x:c r="A14" s="5" t="inlineStr">
        <x:is>
          <x:t xml:space="preserve">Поле</x:t>
        </x:is>
      </x:c>
      <x:c r="B14" s="5" t="inlineStr">
        <x:is>
          <x:t xml:space="preserve">Обязат.</x:t>
        </x:is>
      </x:c>
      <x:c r="C14" s="5" t="inlineStr">
        <x:is>
          <x:t xml:space="preserve">Тип</x:t>
        </x:is>
      </x:c>
      <x:c r="D14" s="5" t="inlineStr">
        <x:is>
          <x:t xml:space="preserve">Описание</x:t>
        </x:is>
      </x:c>
      <x:c r="E14" s="5" t="inlineStr">
        <x:is>
          <x:t xml:space="preserve">Пример</x:t>
        </x:is>
      </x:c>
      <x:c r="F14" s="5" t="inlineStr">
        <x:is>
          <x:t xml:space="preserve">Правило</x:t>
        </x:is>
      </x:c>
    </x:row>
    <x:row r="15">
      <x:c r="A15" s="6" t="inlineStr">
        <x:is>
          <x:t xml:space="preserve">rule_id</x:t>
        </x:is>
      </x:c>
      <x:c r="B15" s="4" t="inlineStr">
        <x:is>
          <x:t xml:space="preserve">да</x:t>
        </x:is>
      </x:c>
      <x:c r="C15" s="4" t="inlineStr">
        <x:is>
          <x:t xml:space="preserve">string</x:t>
        </x:is>
      </x:c>
      <x:c r="D15" s="4" t="inlineStr">
        <x:is>
          <x:t xml:space="preserve">id правила</x:t>
        </x:is>
      </x:c>
      <x:c r="E15" s="4" t="inlineStr">
        <x:is>
          <x:t xml:space="preserve">gr.01</x:t>
        </x:is>
      </x:c>
      <x:c r="F15" s="4" t="inlineStr">
        <x:is>
          <x:t xml:space="preserve">технический</x:t>
        </x:is>
      </x:c>
    </x:row>
    <x:row r="16">
      <x:c r="A16" s="6" t="inlineStr">
        <x:is>
          <x:t xml:space="preserve">question</x:t>
        </x:is>
      </x:c>
      <x:c r="B16" s="4" t="inlineStr">
        <x:is>
          <x:t xml:space="preserve">да</x:t>
        </x:is>
      </x:c>
      <x:c r="C16" s="4" t="inlineStr">
        <x:is>
          <x:t xml:space="preserve">text</x:t>
        </x:is>
      </x:c>
      <x:c r="D16" s="4" t="inlineStr">
        <x:is>
          <x:t xml:space="preserve">контрольный вопрос</x:t>
        </x:is>
      </x:c>
      <x:c r="E16" s="4" t="inlineStr">
        <x:is>
          <x:t xml:space="preserve">Открывает ли новая таблица новый тип запроса?</x:t>
        </x:is>
      </x:c>
      <x:c r="F16" s="4" t="inlineStr">
        <x:is>
          <x:t xml:space="preserve">задает тест</x:t>
        </x:is>
      </x:c>
    </x:row>
    <x:row r="17">
      <x:c r="A17" s="6" t="inlineStr">
        <x:is>
          <x:t xml:space="preserve">yes_action</x:t>
        </x:is>
      </x:c>
      <x:c r="B17" s="4" t="inlineStr">
        <x:is>
          <x:t xml:space="preserve">да</x:t>
        </x:is>
      </x:c>
      <x:c r="C17" s="4" t="inlineStr">
        <x:is>
          <x:t xml:space="preserve">text</x:t>
        </x:is>
      </x:c>
      <x:c r="D17" s="4" t="inlineStr">
        <x:is>
          <x:t xml:space="preserve">что делать если да</x:t>
        </x:is>
      </x:c>
      <x:c r="E17" s="4" t="inlineStr">
        <x:is>
          <x:t xml:space="preserve">заводить таблицу и связывать через устойчивые ids</x:t>
        </x:is>
      </x:c>
      <x:c r="F17" s="4" t="inlineStr">
        <x:is>
          <x:t xml:space="preserve">позитивный ход</x:t>
        </x:is>
      </x:c>
    </x:row>
    <x:row r="18">
      <x:c r="A18" s="6" t="inlineStr">
        <x:is>
          <x:t xml:space="preserve">no_action</x:t>
        </x:is>
      </x:c>
      <x:c r="B18" s="4" t="inlineStr">
        <x:is>
          <x:t xml:space="preserve">да</x:t>
        </x:is>
      </x:c>
      <x:c r="C18" s="4" t="inlineStr">
        <x:is>
          <x:t xml:space="preserve">text</x:t>
        </x:is>
      </x:c>
      <x:c r="D18" s="4" t="inlineStr">
        <x:is>
          <x:t xml:space="preserve">что делать если нет</x:t>
        </x:is>
      </x:c>
      <x:c r="E18" s="4" t="inlineStr">
        <x:is>
          <x:t xml:space="preserve">оставить данные в существующей таблице</x:t>
        </x:is>
      </x:c>
      <x:c r="F18" s="4" t="inlineStr">
        <x:is>
          <x:t xml:space="preserve">не плодить лишнее</x:t>
        </x:is>
      </x:c>
    </x:row>
    <x:row r="19">
      <x:c r="A19" s="6" t="inlineStr">
        <x:is>
          <x:t xml:space="preserve">danger</x:t>
        </x:is>
      </x:c>
      <x:c r="B19" s="4" t="inlineStr">
        <x:is>
          <x:t xml:space="preserve">нет</x:t>
        </x:is>
      </x:c>
      <x:c r="C19" s="4" t="inlineStr">
        <x:is>
          <x:t xml:space="preserve">text</x:t>
        </x:is>
      </x:c>
      <x:c r="D19" s="4" t="inlineStr">
        <x:is>
          <x:t xml:space="preserve">чего избегать</x:t>
        </x:is>
      </x:c>
      <x:c r="E19" s="4" t="inlineStr">
        <x:is>
          <x:t xml:space="preserve">дублирование узлов и смешение source/commentary</x:t>
        </x:is>
      </x:c>
      <x:c r="F19" s="4" t="inlineStr">
        <x:is>
          <x:t xml:space="preserve">красная зона</x:t>
        </x:is>
      </x:c>
    </x:row>
    <x:row r="21">
      <x:c r="A21" s="7" t="inlineStr">
        <x:is>
          <x:t xml:space="preserve">Минимальный пример строки</x:t>
        </x:is>
      </x:c>
    </x:row>
    <x:row r="22">
      <x:c r="A22" s="5" t="inlineStr">
        <x:is>
          <x:t xml:space="preserve">rule_id</x:t>
        </x:is>
      </x:c>
      <x:c r="B22" s="5" t="inlineStr">
        <x:is>
          <x:t xml:space="preserve">question</x:t>
        </x:is>
      </x:c>
      <x:c r="C22" s="5" t="inlineStr">
        <x:is>
          <x:t xml:space="preserve">yes_action</x:t>
        </x:is>
      </x:c>
      <x:c r="D22" s="5" t="inlineStr">
        <x:is>
          <x:t xml:space="preserve">no_action</x:t>
        </x:is>
      </x:c>
      <x:c r="E22" s="5" t="inlineStr">
        <x:is>
          <x:t xml:space="preserve">danger</x:t>
        </x:is>
      </x:c>
    </x:row>
    <x:row r="23">
      <x:c r="A23" s="6" t="inlineStr">
        <x:is>
          <x:t xml:space="preserve">gr.01</x:t>
        </x:is>
      </x:c>
      <x:c r="B23" s="4" t="inlineStr">
        <x:is>
          <x:t xml:space="preserve">Открывает ли новая таблица новый тип запроса или reasoning path?</x:t>
        </x:is>
      </x:c>
      <x:c r="C23" s="4" t="inlineStr">
        <x:is>
          <x:t xml:space="preserve">Да: создать новую таблицу.</x:t>
        </x:is>
      </x:c>
      <x:c r="D23" s="4" t="inlineStr">
        <x:is>
          <x:t xml:space="preserve">Нет: оставить в текущем слое.</x:t>
        </x:is>
      </x:c>
      <x:c r="E23" s="4" t="inlineStr">
        <x:is>
          <x:t xml:space="preserve">Пустое размножение схем.</x:t>
        </x:is>
      </x:c>
    </x:row>
    <x:row r="24">
      <x:c r="A24" s="6" t="inlineStr">
        <x:is>
          <x:t xml:space="preserve">gr.02</x:t>
        </x:is>
      </x:c>
      <x:c r="B24" s="4" t="inlineStr">
        <x:is>
          <x:t xml:space="preserve">Снимает ли она путаницу между witness, layer и provenance?</x:t>
        </x:is>
      </x:c>
      <x:c r="C24" s="4" t="inlineStr">
        <x:is>
          <x:t xml:space="preserve">Да: создать новую таблицу.</x:t>
        </x:is>
      </x:c>
      <x:c r="D24" s="4" t="inlineStr">
        <x:is>
          <x:t xml:space="preserve">Нет: уточнить текущие поля.</x:t>
        </x:is>
      </x:c>
      <x:c r="E24" s="4" t="inlineStr">
        <x:is>
          <x:t xml:space="preserve">Смешение происхождения и толкования.</x:t>
        </x:is>
      </x:c>
    </x:row>
    <x:row r="25">
      <x:c r="A25" s="6" t="inlineStr">
        <x:is>
          <x:t xml:space="preserve">gr.03</x:t>
        </x:is>
      </x:c>
      <x:c r="B25" s="4" t="inlineStr">
        <x:is>
          <x:t xml:space="preserve">Снижает ли она дублирование?</x:t>
        </x:is>
      </x:c>
      <x:c r="C25" s="4" t="inlineStr">
        <x:is>
          <x:t xml:space="preserve">Да: нормализовать и вынести.</x:t>
        </x:is>
      </x:c>
      <x:c r="D25" s="4" t="inlineStr">
        <x:is>
          <x:t xml:space="preserve">Нет: не спавнить.</x:t>
        </x:is>
      </x:c>
      <x:c r="E25" s="4" t="inlineStr">
        <x:is>
          <x:t xml:space="preserve">Параллельные копии одного смысла.</x:t>
        </x:is>
      </x:c>
    </x:row>
    <x:row r="26">
      <x:c r="A26" s="6" t="inlineStr">
        <x:is>
          <x:t xml:space="preserve">gr.04</x:t>
        </x:is>
      </x:c>
      <x:c r="B26" s="4" t="inlineStr">
        <x:is>
          <x:t xml:space="preserve">Становится ли аналогия сама queryable?</x:t>
        </x:is>
      </x:c>
      <x:c r="C26" s="4" t="inlineStr">
        <x:is>
          <x:t xml:space="preserve">Да: позже создать analogy_nodes.</x:t>
        </x:is>
      </x:c>
      <x:c r="D26" s="4" t="inlineStr">
        <x:is>
          <x:t xml:space="preserve">Нет: оставить kind=analogy в event_state_nodes.</x:t>
        </x:is>
      </x:c>
      <x:c r="E26" s="4" t="inlineStr">
        <x:is>
          <x:t xml:space="preserve">Преждевременная инфляция символов.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235921f8e3fa4801"/>
    <x:tablePart xmlns:r="http://schemas.openxmlformats.org/officeDocument/2006/relationships" r:id="Rccd1538ac4ef4e2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72" customWidth="1"/>
    <x:col min="3" max="3" width="52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</x:cols>
  <x:sheetData>
    <x:row r="1" ht="24" customHeight="1">
      <x:c r="A1" s="1" t="inlineStr">
        <x:is>
          <x:t xml:space="preserve">Источники схемы</x:t>
        </x:is>
      </x:c>
    </x:row>
    <x:row r="2" ht="20" customHeight="1">
      <x:c r="A2" s="2" t="inlineStr">
        <x:is>
          <x:t xml:space="preserve">Plain text URLs для проектной дисциплины</x:t>
        </x:is>
      </x:c>
    </x:row>
    <x:row r="4">
      <x:c r="A4" s="5" t="inlineStr">
        <x:is>
          <x:t xml:space="preserve">Источник</x:t>
        </x:is>
      </x:c>
      <x:c r="B4" s="5" t="inlineStr">
        <x:is>
          <x:t xml:space="preserve">URL</x:t>
        </x:is>
      </x:c>
      <x:c r="C4" s="5" t="inlineStr">
        <x:is>
          <x:t xml:space="preserve">Зачем нужен</x:t>
        </x:is>
      </x:c>
    </x:row>
    <x:row r="5">
      <x:c r="A5" s="6" t="inlineStr">
        <x:is>
          <x:t xml:space="preserve">ToS Charter</x:t>
        </x:is>
      </x:c>
      <x:c r="B5" s="4" t="inlineStr">
        <x:is>
          <x:t xml:space="preserve">https://raw.githubusercontent.com/8Dionysus/Tree-of-Sophia/main/CHARTER.md</x:t>
        </x:is>
      </x:c>
      <x:c r="C5" s="4" t="inlineStr">
        <x:is>
          <x:t xml:space="preserve">raw material, derived extraction и human-reviewed synthesis должны быть разведены; growth through explicit structure.</x:t>
        </x:is>
      </x:c>
    </x:row>
    <x:row r="6">
      <x:c r="A6" s="6" t="inlineStr">
        <x:is>
          <x:t xml:space="preserve">Zarathustra Trilingual Entry</x:t>
        </x:is>
      </x:c>
      <x:c r="B6" s="4" t="inlineStr">
        <x:is>
          <x:t xml:space="preserve">https://raw.githubusercontent.com/8Dionysus/Tree-of-Sophia/main/docs/ZARATHUSTRA_TRILINGUAL_ENTRY.md</x:t>
        </x:is>
      </x:c>
      <x:c r="C6" s="4" t="inlineStr">
        <x:is>
          <x:t xml:space="preserve">1 source node, 12 shared paragraph-aligned segments, 3 language witnesses, bounded translation_tensions, deepening not widening.</x:t>
        </x:is>
      </x:c>
    </x:row>
    <x:row r="7">
      <x:c r="A7" s="6" t="inlineStr">
        <x:is>
          <x:t xml:space="preserve">source_node.example.json</x:t>
        </x:is>
      </x:c>
      <x:c r="B7" s="4" t="inlineStr">
        <x:is>
          <x:t xml:space="preserve">https://raw.githubusercontent.com/8Dionysus/Tree-of-Sophia/main/examples/source_node.example.json</x:t>
        </x:is>
      </x:c>
      <x:c r="C7" s="4" t="inlineStr">
        <x:is>
          <x:t xml:space="preserve">interpretation_layers = source_linked / distilled_thesis / commentary; key_terms include solitude, overflow, descent, return.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7e996829b464b6d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6" customWidth="1"/>
    <x:col min="3" max="3" width="36" customWidth="1"/>
    <x:col min="4" max="4" width="28" customWidth="1"/>
    <x:col min="5" max="5" width="22" customWidth="1"/>
    <x:col min="6" max="6" width="40" customWidth="1"/>
    <x:col min="7" max="7" width="26" customWidth="1"/>
    <x:col min="8" max="8" width="34" customWidth="1"/>
    <x:col min="9" max="9" width="24" customWidth="1"/>
  </x:cols>
  <x:sheetData>
    <x:row r="1" ht="20" customHeight="1">
      <x:c r="A1" s="9" t="inlineStr">
        <x:is>
          <x:t xml:space="preserve">Проектная схема ToS/KAG</x:t>
        </x:is>
      </x:c>
    </x:row>
    <x:row r="2" ht="20" customHeight="1">
      <x:c r="A2" s="10" t="inlineStr">
        <x:is>
          <x:t xml:space="preserve">Стартовый набор таблиц, обязательные поля, правила заполнения и триггеры спавна</x:t>
        </x:is>
      </x:c>
    </x:row>
    <x:row r="3" ht="20" customHeight="1"/>
    <x:row r="4" ht="34" customHeight="1">
      <x:c r="A4" s="8" t="inlineStr">
        <x:is>
          <x:t xml:space="preserve">Назначение</x:t>
        </x:is>
      </x:c>
      <x:c r="B4" s="4" t="inlineStr">
        <x:is>
          <x:t xml:space="preserve">Дать одну рабочую карту проекта: с каких таблиц начинать, что в них обязательно, что можно отложить и когда рождать следующий слой.</x:t>
        </x:is>
      </x:c>
    </x:row>
    <x:row r="5" ht="34" customHeight="1">
      <x:c r="A5" s="8" t="inlineStr">
        <x:is>
          <x:t xml:space="preserve">Главный принцип</x:t>
        </x:is>
      </x:c>
      <x:c r="B5" s="4" t="inlineStr">
        <x:is>
          <x:t xml:space="preserve">Малое устойчивое ядро сначала; новые таблицы только тогда, когда они открывают новый тип запроса, удерживают provenance или снимают путаницу.</x:t>
        </x:is>
      </x:c>
    </x:row>
    <x:row r="6" ht="34" customHeight="1">
      <x:c r="A6" s="8" t="inlineStr">
        <x:is>
          <x:t xml:space="preserve">Базовый старт</x:t>
        </x:is>
      </x:c>
      <x:c r="B6" s="4" t="inlineStr">
        <x:is>
          <x:t xml:space="preserve">corpus_map, witnesses, segments, nodes, event_state_nodes, edges, translation_tensions.</x:t>
        </x:is>
      </x:c>
    </x:row>
    <x:row r="7" ht="34" customHeight="1">
      <x:c r="A7" s="8" t="inlineStr">
        <x:is>
          <x:t xml:space="preserve">Вторая волна</x:t>
        </x:is>
      </x:c>
      <x:c r="B7" s="4" t="inlineStr">
        <x:is>
          <x:t xml:space="preserve">witness_glosses, principles.</x:t>
        </x:is>
      </x:c>
    </x:row>
    <x:row r="8" ht="34" customHeight="1">
      <x:c r="A8" s="8" t="inlineStr">
        <x:is>
          <x:t xml:space="preserve">Третья волна</x:t>
        </x:is>
      </x:c>
      <x:c r="B8" s="4" t="inlineStr">
        <x:is>
          <x:t xml:space="preserve">analogy_nodes, reasoning_paths, lineage_links, agent_witnesses, query_views.</x:t>
        </x:is>
      </x:c>
    </x:row>
    <x:row r="9" ht="20" customHeight="1"/>
    <x:row r="10" ht="20" customHeight="1"/>
    <x:row r="11" ht="28" customHeight="1">
      <x:c r="A11" s="11" t="inlineStr">
        <x:is>
          <x:t xml:space="preserve">Таблица</x:t>
        </x:is>
      </x:c>
      <x:c r="B11" s="11" t="inlineStr">
        <x:is>
          <x:t xml:space="preserve">Волна</x:t>
        </x:is>
      </x:c>
      <x:c r="C11" s="11" t="inlineStr">
        <x:is>
          <x:t xml:space="preserve">Обязательные поля</x:t>
        </x:is>
      </x:c>
      <x:c r="D11" s="11" t="inlineStr">
        <x:is>
          <x:t xml:space="preserve">Опциональные поля</x:t>
        </x:is>
      </x:c>
      <x:c r="E11" s="11" t="inlineStr">
        <x:is>
          <x:t xml:space="preserve">Заполнять когда</x:t>
        </x:is>
      </x:c>
      <x:c r="F11" s="11" t="inlineStr">
        <x:is>
          <x:t xml:space="preserve">Правило заполнения</x:t>
        </x:is>
      </x:c>
      <x:c r="G11" s="11" t="inlineStr">
        <x:is>
          <x:t xml:space="preserve">Не делать</x:t>
        </x:is>
      </x:c>
      <x:c r="H11" s="11" t="inlineStr">
        <x:is>
          <x:t xml:space="preserve">Спавнить дальше когда</x:t>
        </x:is>
      </x:c>
      <x:c r="I11" s="11" t="inlineStr">
        <x:is>
          <x:t xml:space="preserve">Минимальный пример</x:t>
        </x:is>
      </x:c>
    </x:row>
    <x:row r="12" ht="28" customHeight="1">
      <x:c r="A12" s="12" t="inlineStr">
        <x:is>
          <x:t xml:space="preserve">corpus_map</x:t>
        </x:is>
      </x:c>
      <x:c r="B12" s="12" t="inlineStr">
        <x:is>
          <x:t xml:space="preserve">фундаментальный</x:t>
        </x:is>
      </x:c>
      <x:c r="C12" s="12" t="inlineStr">
        <x:is>
          <x:t xml:space="preserve">corpus_row_id; source_secondary; order_in_book; part; chapter; subpart</x:t>
        </x:is>
      </x:c>
      <x:c r="D12" s="12" t="inlineStr">
        <x:is>
          <x:t xml:space="preserve">title_ru; title_en; note</x:t>
        </x:is>
      </x:c>
      <x:c r="E12" s="12" t="inlineStr">
        <x:is>
          <x:t xml:space="preserve">сразу, до любого глубокого анализа</x:t>
        </x:is>
      </x:c>
      <x:c r="F12" s="12" t="inlineStr">
        <x:is>
          <x:t xml:space="preserve">Одна строка = одно адресуемое место корпуса. Не придумывать скрытых уровней.</x:t>
        </x:is>
      </x:c>
      <x:c r="G12" s="12" t="inlineStr">
        <x:is>
          <x:t xml:space="preserve">Не превращать corpus_map в таблицу смыслов.</x:t>
        </x:is>
      </x:c>
      <x:c r="H12" s="12" t="inlineStr">
        <x:is>
          <x:t xml:space="preserve">Когда нужен стабильный адрес книги, главы, части, абзаца.</x:t>
        </x:is>
      </x:c>
      <x:c r="I12" s="12" t="inlineStr">
        <x:is>
          <x:t xml:space="preserve">cm.1.1.1.8 | 1,1,1,8 | 8</x:t>
        </x:is>
      </x:c>
    </x:row>
    <x:row r="13" ht="28" customHeight="1">
      <x:c r="A13" s="13" t="inlineStr">
        <x:is>
          <x:t xml:space="preserve">witnesses</x:t>
        </x:is>
      </x:c>
      <x:c r="B13" s="13" t="inlineStr">
        <x:is>
          <x:t xml:space="preserve">фундаментальный</x:t>
        </x:is>
      </x:c>
      <x:c r="C13" s="13" t="inlineStr">
        <x:is>
          <x:t xml:space="preserve">witness_id; language; witness_role; authority_level; source_or_author</x:t>
        </x:is>
      </x:c>
      <x:c r="D13" s="13" t="inlineStr">
        <x:is>
          <x:t xml:space="preserve">normalization_note; reviewer; year; based_on</x:t>
        </x:is>
      </x:c>
      <x:c r="E13" s="13" t="inlineStr">
        <x:is>
          <x:t xml:space="preserve">сразу, как только есть 2+ текстовых слоя</x:t>
        </x:is>
      </x:c>
      <x:c r="F13" s="13" t="inlineStr">
        <x:is>
          <x:t xml:space="preserve">Одна строка = один текстовый свидетель. Четко отделять canonical, translation, bridge, agent-derived.</x:t>
        </x:is>
      </x:c>
      <x:c r="G13" s="13" t="inlineStr">
        <x:is>
          <x:t xml:space="preserve">Не смешивать witness и layer.</x:t>
        </x:is>
      </x:c>
      <x:c r="H13" s="13" t="inlineStr">
        <x:is>
          <x:t xml:space="preserve">Когда появляются новые свидетели или agent-authored derived layers.</x:t>
        </x:is>
      </x:c>
      <x:c r="I13" s="13" t="inlineStr">
        <x:is>
          <x:t xml:space="preserve">w.ru.dionysus.translation.v1 | ru | human_translation_witness</x:t>
        </x:is>
      </x:c>
    </x:row>
    <x:row r="14" ht="28" customHeight="1">
      <x:c r="A14" s="12" t="inlineStr">
        <x:is>
          <x:t xml:space="preserve">segments</x:t>
        </x:is>
      </x:c>
      <x:c r="B14" s="12" t="inlineStr">
        <x:is>
          <x:t xml:space="preserve">фундаментальный</x:t>
        </x:is>
      </x:c>
      <x:c r="C14" s="12" t="inlineStr">
        <x:is>
          <x:t xml:space="preserve">segment_id; source_secondary; paragraph_anchor; witness_scope</x:t>
        </x:is>
      </x:c>
      <x:c r="D14" s="12" t="inlineStr">
        <x:is>
          <x:t xml:space="preserve">line_span; cluster_id; working_name</x:t>
        </x:is>
      </x:c>
      <x:c r="E14" s="12" t="inlineStr">
        <x:is>
          <x:t xml:space="preserve">сразу после разметки корпуса</x:t>
        </x:is>
      </x:c>
      <x:c r="F14" s="12" t="inlineStr">
        <x:is>
          <x:t xml:space="preserve">Сегменты должны быть короткими, обозримыми и повторяемыми при повторной разметке.</x:t>
        </x:is>
      </x:c>
      <x:c r="G14" s="12" t="inlineStr">
        <x:is>
          <x:t xml:space="preserve">Не делать сегменты слишком крупными или слишком мелкими без причины.</x:t>
        </x:is>
      </x:c>
      <x:c r="H14" s="12" t="inlineStr">
        <x:is>
          <x:t xml:space="preserve">Когда нужен spine для anchors, reasoning и cross-links.</x:t>
        </x:is>
      </x:c>
      <x:c r="I14" s="12" t="inlineStr">
        <x:is>
          <x:t xml:space="preserve">seg.1.1.1.5 | 1,1,1,5 | [5]</x:t>
        </x:is>
      </x:c>
    </x:row>
    <x:row r="15" ht="28" customHeight="1">
      <x:c r="A15" s="13" t="inlineStr">
        <x:is>
          <x:t xml:space="preserve">nodes</x:t>
        </x:is>
      </x:c>
      <x:c r="B15" s="13" t="inlineStr">
        <x:is>
          <x:t xml:space="preserve">фундаментальный</x:t>
        </x:is>
      </x:c>
      <x:c r="C15" s="13" t="inlineStr">
        <x:is>
          <x:t xml:space="preserve">node_id; label_ru; node_class; first_anchor; layer</x:t>
        </x:is>
      </x:c>
      <x:c r="D15" s="13" t="inlineStr">
        <x:is>
          <x:t xml:space="preserve">label_en; note; status</x:t>
        </x:is>
      </x:c>
      <x:c r="E15" s="13" t="inlineStr">
        <x:is>
          <x:t xml:space="preserve">сразу после первых сегментов</x:t>
        </x:is>
      </x:c>
      <x:c r="F15" s="13" t="inlineStr">
        <x:is>
          <x:t xml:space="preserve">Один смысл -&gt; один node_id. Переиспользовать узлы, если смысл тот же.</x:t>
        </x:is>
      </x:c>
      <x:c r="G15" s="13" t="inlineStr">
        <x:is>
          <x:t xml:space="preserve">Не плодить языковые копии одного и того же узла.</x:t>
        </x:is>
      </x:c>
      <x:c r="H15" s="13" t="inlineStr">
        <x:is>
          <x:t xml:space="preserve">Когда смысл должен повторно использоваться в других местах книги.</x:t>
        </x:is>
      </x:c>
      <x:c r="I15" s="13" t="inlineStr">
        <x:is>
          <x:t xml:space="preserve">n.overflow | избыток | concept</x:t>
        </x:is>
      </x:c>
    </x:row>
    <x:row r="16" ht="28" customHeight="1">
      <x:c r="A16" s="12" t="inlineStr">
        <x:is>
          <x:t xml:space="preserve">event_state_nodes</x:t>
        </x:is>
      </x:c>
      <x:c r="B16" s="12" t="inlineStr">
        <x:is>
          <x:t xml:space="preserve">фундаментальный</x:t>
        </x:is>
      </x:c>
      <x:c r="C16" s="12" t="inlineStr">
        <x:is>
          <x:t xml:space="preserve">es_id; kind; label_ru; anchors; core</x:t>
        </x:is>
      </x:c>
      <x:c r="D16" s="12" t="inlineStr">
        <x:is>
          <x:t xml:space="preserve">duration; participants; note</x:t>
        </x:is>
      </x:c>
      <x:c r="E16" s="12" t="inlineStr">
        <x:is>
          <x:t xml:space="preserve">когда тройка субъект-предикат-объект уже тесна</x:t>
        </x:is>
      </x:c>
      <x:c r="F16" s="12" t="inlineStr">
        <x:is>
          <x:t xml:space="preserve">Отдельный узел нужен для длительности, повторяемости, множественных участников, условности или образной сборки.</x:t>
        </x:is>
      </x:c>
      <x:c r="G16" s="12" t="inlineStr">
        <x:is>
          <x:t xml:space="preserve">Не делать event/state из каждой простой тройки.</x:t>
        </x:is>
      </x:c>
      <x:c r="H16" s="12" t="inlineStr">
        <x:is>
          <x:t xml:space="preserve">Когда строка начинает нести собственную структуру.</x:t>
        </x:is>
      </x:c>
      <x:c r="I16" s="12" t="inlineStr">
        <x:is>
          <x:t xml:space="preserve">st.p1.solitary_ripening_10y | state | 1,1,1,1 [1]</x:t>
        </x:is>
      </x:c>
    </x:row>
    <x:row r="17" ht="28" customHeight="1">
      <x:c r="A17" s="13" t="inlineStr">
        <x:is>
          <x:t xml:space="preserve">edges</x:t>
        </x:is>
      </x:c>
      <x:c r="B17" s="13" t="inlineStr">
        <x:is>
          <x:t xml:space="preserve">фундаментальный</x:t>
        </x:is>
      </x:c>
      <x:c r="C17" s="13" t="inlineStr">
        <x:is>
          <x:t xml:space="preserve">edge_id; from_id; predicate_id; to_id; layer; anchors</x:t>
        </x:is>
      </x:c>
      <x:c r="D17" s="13" t="inlineStr">
        <x:is>
          <x:t xml:space="preserve">confidence; note</x:t>
        </x:is>
      </x:c>
      <x:c r="E17" s="13" t="inlineStr">
        <x:is>
          <x:t xml:space="preserve">сразу после nodes и event_state_nodes</x:t>
        </x:is>
      </x:c>
      <x:c r="F17" s="13" t="inlineStr">
        <x:is>
          <x:t xml:space="preserve">Каждое ребро должно связывать уже существующие IDs. Простейший рабочий слой графа.</x:t>
        </x:is>
      </x:c>
      <x:c r="G17" s="13" t="inlineStr">
        <x:is>
          <x:t xml:space="preserve">Не хранить в edges длинные абзацы вместо нормализованных связей.</x:t>
        </x:is>
      </x:c>
      <x:c r="H17" s="13" t="inlineStr">
        <x:is>
          <x:t xml:space="preserve">Когда есть хотя бы один нормализованный узел и одно событие.</x:t>
        </x:is>
      </x:c>
      <x:c r="I17" s="13" t="inlineStr">
        <x:is>
          <x:t xml:space="preserve">e41 | ev.p5_6.need_hands_for_giving | motivated_by | st.p5.overfull_wisdom</x:t>
        </x:is>
      </x:c>
    </x:row>
    <x:row r="18" ht="28" customHeight="1">
      <x:c r="A18" s="12" t="inlineStr">
        <x:is>
          <x:t xml:space="preserve">translation_tensions</x:t>
        </x:is>
      </x:c>
      <x:c r="B18" s="12" t="inlineStr">
        <x:is>
          <x:t xml:space="preserve">фундаментальный+</x:t>
        </x:is>
      </x:c>
      <x:c r="C18" s="12" t="inlineStr">
        <x:is>
          <x:t xml:space="preserve">tension_id; concept_kernel; anchors; witnesses_in_tension; why_it_matters</x:t>
        </x:is>
      </x:c>
      <x:c r="D18" s="12" t="inlineStr">
        <x:is>
          <x:t xml:space="preserve">preferred_local_reading; note</x:t>
        </x:is>
      </x:c>
      <x:c r="E18" s="12" t="inlineStr">
        <x:is>
          <x:t xml:space="preserve">сразу, но скупо</x:t>
        </x:is>
      </x:c>
      <x:c r="F18" s="12" t="inlineStr">
        <x:is>
          <x:t xml:space="preserve">Фиксировать только нагрузочные дрейфы, которые реально меняют философский вес.</x:t>
        </x:is>
      </x:c>
      <x:c r="G18" s="12" t="inlineStr">
        <x:is>
          <x:t xml:space="preserve">Не писать сюда каждую мелкую стилистическую разницу.</x:t>
        </x:is>
      </x:c>
      <x:c r="H18" s="12" t="inlineStr">
        <x:is>
          <x:t xml:space="preserve">Когда переводное расхождение меняет мысль, а не только тон.</x:t>
        </x:is>
      </x:c>
      <x:c r="I18" s="12" t="inlineStr">
        <x:is>
          <x:t xml:space="preserve">tt.untergehen | go_under | [8]</x:t>
        </x:is>
      </x:c>
    </x:row>
    <x:row r="19" ht="28" customHeight="1">
      <x:c r="A19" s="13" t="inlineStr">
        <x:is>
          <x:t xml:space="preserve">witness_glosses</x:t>
        </x:is>
      </x:c>
      <x:c r="B19" s="13" t="inlineStr">
        <x:is>
          <x:t xml:space="preserve">вторая волна</x:t>
        </x:is>
      </x:c>
      <x:c r="C19" s="13" t="inlineStr">
        <x:is>
          <x:t xml:space="preserve">gloss_id; anchors; normalized_kernel; DE; RU; EN</x:t>
        </x:is>
      </x:c>
      <x:c r="D19" s="13" t="inlineStr">
        <x:is>
          <x:t xml:space="preserve">note; future_link</x:t>
        </x:is>
      </x:c>
      <x:c r="E19" s="13" t="inlineStr">
        <x:is>
          <x:t xml:space="preserve">когда начинаются лексически важные поверхности</x:t>
        </x:is>
      </x:c>
      <x:c r="F19" s="13" t="inlineStr">
        <x:is>
          <x:t xml:space="preserve">Одна строка = один лексический узел, который нельзя без потерь растворить в нормализации.</x:t>
        </x:is>
      </x:c>
      <x:c r="G19" s="13" t="inlineStr">
        <x:is>
          <x:t xml:space="preserve">Не превращать glosses в хаотичную словарную свалку.</x:t>
        </x:is>
      </x:c>
      <x:c r="H19" s="13" t="inlineStr">
        <x:is>
          <x:t xml:space="preserve">Когда конкретная формулировка начинает вести смысл.</x:t>
        </x:is>
      </x:c>
      <x:c r="I19" s="13" t="inlineStr">
        <x:is>
          <x:t xml:space="preserve">g.6.thorheit | folly | Thorheit | глупость | folly</x:t>
        </x:is>
      </x:c>
    </x:row>
    <x:row r="20" ht="28" customHeight="1">
      <x:c r="A20" s="12" t="inlineStr">
        <x:is>
          <x:t xml:space="preserve">principles</x:t>
        </x:is>
      </x:c>
      <x:c r="B20" s="12" t="inlineStr">
        <x:is>
          <x:t xml:space="preserve">вторая волна</x:t>
        </x:is>
      </x:c>
      <x:c r="C20" s="12" t="inlineStr">
        <x:is>
          <x:t xml:space="preserve">principle_id; layer; anchors; formula</x:t>
        </x:is>
      </x:c>
      <x:c r="D20" s="12" t="inlineStr">
        <x:is>
          <x:t xml:space="preserve">related_nodes; note</x:t>
        </x:is>
      </x:c>
      <x:c r="E20" s="12" t="inlineStr">
        <x:is>
          <x:t xml:space="preserve">когда кусок текста уже читается как принцип</x:t>
        </x:is>
      </x:c>
      <x:c r="F20" s="12" t="inlineStr">
        <x:is>
          <x:t xml:space="preserve">Четко отделять distilled principle от authored commentary.</x:t>
        </x:is>
      </x:c>
      <x:c r="G20" s="12" t="inlineStr">
        <x:is>
          <x:t xml:space="preserve">Не маскировать принцип под literal source fact.</x:t>
        </x:is>
      </x:c>
      <x:c r="H20" s="12" t="inlineStr">
        <x:is>
          <x:t xml:space="preserve">Когда из набора edges начинает сниматься более общий закон.</x:t>
        </x:is>
      </x:c>
      <x:c r="I20" s="12" t="inlineStr">
        <x:is>
          <x:t xml:space="preserve">pr.happiness_is_relational</x:t>
        </x:is>
      </x:c>
    </x:row>
    <x:row r="21" ht="28" customHeight="1">
      <x:c r="A21" s="13" t="inlineStr">
        <x:is>
          <x:t xml:space="preserve">analogy_nodes</x:t>
        </x:is>
      </x:c>
      <x:c r="B21" s="13" t="inlineStr">
        <x:is>
          <x:t xml:space="preserve">третья волна</x:t>
        </x:is>
      </x:c>
      <x:c r="C21" s="13" t="inlineStr">
        <x:is>
          <x:t xml:space="preserve">analogy_id; anchors; source_image; target_dynamic; role_in_reasoning</x:t>
        </x:is>
      </x:c>
      <x:c r="D21" s="13" t="inlineStr">
        <x:is>
          <x:t xml:space="preserve">note; reuse_count</x:t>
        </x:is>
      </x:c>
      <x:c r="E21" s="13" t="inlineStr">
        <x:is>
          <x:t xml:space="preserve">когда образные мосты начинают повторяться</x:t>
        </x:is>
      </x:c>
      <x:c r="F21" s="13" t="inlineStr">
        <x:is>
          <x:t xml:space="preserve">Заводить отдельную таблицу только если аналогии уже образуют повторяющийся класс.</x:t>
        </x:is>
      </x:c>
      <x:c r="G21" s="13" t="inlineStr">
        <x:is>
          <x:t xml:space="preserve">Не выносить единичный образ в целую систему слишком рано.</x:t>
        </x:is>
      </x:c>
      <x:c r="H21" s="13" t="inlineStr">
        <x:is>
          <x:t xml:space="preserve">Когда 3+ аналогии одного класса требуют общего реестра.</x:t>
        </x:is>
      </x:c>
      <x:c r="I21" s="13" t="inlineStr">
        <x:is>
          <x:t xml:space="preserve">an.bee_honey | пчела/мед -&gt; избыток мудрости</x:t>
        </x:is>
      </x:c>
    </x:row>
    <x:row r="22" ht="28" customHeight="1">
      <x:c r="A22" s="12" t="inlineStr">
        <x:is>
          <x:t xml:space="preserve">reasoning_paths</x:t>
        </x:is>
      </x:c>
      <x:c r="B22" s="12" t="inlineStr">
        <x:is>
          <x:t xml:space="preserve">третья волна</x:t>
        </x:is>
      </x:c>
      <x:c r="C22" s="12" t="inlineStr">
        <x:is>
          <x:t xml:space="preserve">path_id; question_type; start_anchor; ordered_steps; end_claim</x:t>
        </x:is>
      </x:c>
      <x:c r="D22" s="12" t="inlineStr">
        <x:is>
          <x:t xml:space="preserve">confidence; note</x:t>
        </x:is>
      </x:c>
      <x:c r="E22" s="12" t="inlineStr">
        <x:is>
          <x:t xml:space="preserve">когда нужно отвечать на повторяющиеся философские запросы</x:t>
        </x:is>
      </x:c>
      <x:c r="F22" s="12" t="inlineStr">
        <x:is>
          <x:t xml:space="preserve">Описывать не все возможные цепи, а устойчивые маршруты рассуждения.</x:t>
        </x:is>
      </x:c>
      <x:c r="G22" s="12" t="inlineStr">
        <x:is>
          <x:t xml:space="preserve">Не заменять paths обычными edges.</x:t>
        </x:is>
      </x:c>
      <x:c r="H22" s="12" t="inlineStr">
        <x:is>
          <x:t xml:space="preserve">Когда одни и те же цепочки постоянно повторяются в ответах.</x:t>
        </x:is>
      </x:c>
      <x:c r="I22" s="12" t="inlineStr">
        <x:is>
          <x:t xml:space="preserve">rp.why_go_under</x:t>
        </x:is>
      </x:c>
    </x:row>
    <x:row r="23" ht="28" customHeight="1">
      <x:c r="A23" s="13" t="inlineStr">
        <x:is>
          <x:t xml:space="preserve">lineage_links</x:t>
        </x:is>
      </x:c>
      <x:c r="B23" s="13" t="inlineStr">
        <x:is>
          <x:t xml:space="preserve">третья волна</x:t>
        </x:is>
      </x:c>
      <x:c r="C23" s="13" t="inlineStr">
        <x:is>
          <x:t xml:space="preserve">link_id; from_node; relation; to_external_text; evidence_anchor</x:t>
        </x:is>
      </x:c>
      <x:c r="D23" s="13" t="inlineStr">
        <x:is>
          <x:t xml:space="preserve">note; direction</x:t>
        </x:is>
      </x:c>
      <x:c r="E23" s="13" t="inlineStr">
        <x:is>
          <x:t xml:space="preserve">когда появляются устойчивые внешние переклички</x:t>
        </x:is>
      </x:c>
      <x:c r="F23" s="13" t="inlineStr">
        <x:is>
          <x:t xml:space="preserve">Связывать только после стабилизации собственного узла.</x:t>
        </x:is>
      </x:c>
      <x:c r="G23" s="13" t="inlineStr">
        <x:is>
          <x:t xml:space="preserve">Не тянуть внешние традиции в ядро слишком рано.</x:t>
        </x:is>
      </x:c>
      <x:c r="H23" s="13" t="inlineStr">
        <x:is>
          <x:t xml:space="preserve">Когда cross-work связи перестают быть случайными.</x:t>
        </x:is>
      </x:c>
      <x:c r="I23" s="13" t="inlineStr">
        <x:is>
          <x:t xml:space="preserve">ll.zarathustra.sun.descent</x:t>
        </x:is>
      </x:c>
    </x:row>
    <x:row r="24" ht="28" customHeight="1">
      <x:c r="A24" s="12" t="inlineStr">
        <x:is>
          <x:t xml:space="preserve">agent_witnesses</x:t>
        </x:is>
      </x:c>
      <x:c r="B24" s="12" t="inlineStr">
        <x:is>
          <x:t xml:space="preserve">третья волна</x:t>
        </x:is>
      </x:c>
      <x:c r="C24" s="12" t="inlineStr">
        <x:is>
          <x:t xml:space="preserve">witness_id; witness_role; based_on; agent_author; authority_level</x:t>
        </x:is>
      </x:c>
      <x:c r="D24" s="12" t="inlineStr">
        <x:is>
          <x:t xml:space="preserve">model_stack; human_reviewer; normalization_note</x:t>
        </x:is>
      </x:c>
      <x:c r="E24" s="12" t="inlineStr">
        <x:is>
          <x:t xml:space="preserve">когда появятся рабочие агентные derived layers</x:t>
        </x:is>
      </x:c>
      <x:c r="F24" s="12" t="inlineStr">
        <x:is>
          <x:t xml:space="preserve">Agent witness допустим только как явно производный и типизированный слой.</x:t>
        </x:is>
      </x:c>
      <x:c r="G24" s="12" t="inlineStr">
        <x:is>
          <x:t xml:space="preserve">Не подменять canonical source агентным текстом.</x:t>
        </x:is>
      </x:c>
      <x:c r="H24" s="12" t="inlineStr">
        <x:is>
          <x:t xml:space="preserve">Когда понадобятся bridge/extraction/commentary under provenance.</x:t>
        </x:is>
      </x:c>
      <x:c r="I24" s="12" t="inlineStr">
        <x:is>
          <x:t xml:space="preserve">w.ru.agent_bridge.v1</x:t>
        </x:is>
      </x:c>
    </x:row>
    <x:row r="25" ht="28" customHeight="1">
      <x:c r="A25" s="13" t="inlineStr">
        <x:is>
          <x:t xml:space="preserve">query_views</x:t>
        </x:is>
      </x:c>
      <x:c r="B25" s="13" t="inlineStr">
        <x:is>
          <x:t xml:space="preserve">третья волна</x:t>
        </x:is>
      </x:c>
      <x:c r="C25" s="13" t="inlineStr">
        <x:is>
          <x:t xml:space="preserve">view_id; purpose; base_tables; join_logic</x:t>
        </x:is>
      </x:c>
      <x:c r="D25" s="13" t="inlineStr">
        <x:is>
          <x:t xml:space="preserve">filters; refresh_rule</x:t>
        </x:is>
      </x:c>
      <x:c r="E25" s="13" t="inlineStr">
        <x:is>
          <x:t xml:space="preserve">когда повторяются одни и те же joins</x:t>
        </x:is>
      </x:c>
      <x:c r="F25" s="13" t="inlineStr">
        <x:is>
          <x:t xml:space="preserve">View должен экономить труд и стабилизировать один тип запроса.</x:t>
        </x:is>
      </x:c>
      <x:c r="G25" s="13" t="inlineStr">
        <x:is>
          <x:t xml:space="preserve">Не плодить view без повторяемого кейса.</x:t>
        </x:is>
      </x:c>
      <x:c r="H25" s="13" t="inlineStr">
        <x:is>
          <x:t xml:space="preserve">Когда один и тот же срез строится вручную 3+ раза.</x:t>
        </x:is>
      </x:c>
      <x:c r="I25" s="13" t="inlineStr">
        <x:is>
          <x:t xml:space="preserve">qv.descent_motif_view</x:t>
        </x:is>
      </x:c>
    </x:row>
  </x:sheetData>
  <x:mergeCells>
    <x:mergeCell ref="B7:I7"/>
    <x:mergeCell ref="B6:I6"/>
    <x:mergeCell ref="B5:I5"/>
    <x:mergeCell ref="B8:I8"/>
    <x:mergeCell ref="B4:I4"/>
  </x:mergeCells>
  <x:pageMargins left="0.7" right="0.7" top="0.75" bottom="0.75" header="0.3" footer="0.3"/>
  <x:tableParts count="1">
    <x:tablePart xmlns:r="http://schemas.openxmlformats.org/officeDocument/2006/relationships" r:id="R0829e345108e4b74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6" customWidth="1"/>
    <x:col min="3" max="3" width="28" customWidth="1"/>
    <x:col min="4" max="4" width="28" customWidth="1"/>
    <x:col min="5" max="5" width="36" customWidth="1"/>
    <x:col min="6" max="6" width="32" customWidth="1"/>
    <x:col min="7" max="7" width="28" customWidth="1"/>
  </x:cols>
  <x:sheetData>
    <x:row r="1" ht="20" customHeight="1">
      <x:c r="A1" s="9" t="inlineStr">
        <x:is>
          <x:t xml:space="preserve">Порядок прохода по книге</x:t>
        </x:is>
      </x:c>
    </x:row>
    <x:row r="2" ht="20" customHeight="1">
      <x:c r="A2" s="10" t="inlineStr">
        <x:is>
          <x:t xml:space="preserve">Как проходить корпус волнами: от адреса и witness-слоя до принципов и поздних проекций</x:t>
        </x:is>
      </x:c>
    </x:row>
    <x:row r="3" ht="20" customHeight="1"/>
    <x:row r="4" ht="34" customHeight="1">
      <x:c r="A4" s="8" t="inlineStr">
        <x:is>
          <x:t xml:space="preserve">Режим работы</x:t>
        </x:is>
      </x:c>
      <x:c r="B4" s="4" t="inlineStr">
        <x:is>
          <x:t xml:space="preserve">Сначала горизонтальная волна: покрыть корпус простыми и устойчивыми таблицами. Потом вертикальная волна: углублять плотные места.</x:t>
        </x:is>
      </x:c>
    </x:row>
    <x:row r="5" ht="34" customHeight="1">
      <x:c r="A5" s="8" t="inlineStr">
        <x:is>
          <x:t xml:space="preserve">Тактическое правило</x:t>
        </x:is>
      </x:c>
      <x:c r="B5" s="4" t="inlineStr">
        <x:is>
          <x:t xml:space="preserve">Не ждать идеальной системы. Заполнять ядро широко, а сложные таблицы рождать по триггерам.</x:t>
        </x:is>
      </x:c>
    </x:row>
    <x:row r="6" ht="34" customHeight="1">
      <x:c r="A6" s="8" t="inlineStr">
        <x:is>
          <x:t xml:space="preserve">Практический ритм</x:t>
        </x:is>
      </x:c>
      <x:c r="B6" s="4" t="inlineStr">
        <x:is>
          <x:t xml:space="preserve">Новый фрагмент -&gt; corpus_map -&gt; witnesses -&gt; segments -&gt; nodes -&gt; event_state_nodes -&gt; edges -&gt; translation_tensions -&gt; (по мере сгущения) witness_glosses -&gt; principles -&gt; поздние проекции.</x:t>
        </x:is>
      </x:c>
    </x:row>
    <x:row r="7" ht="20" customHeight="1"/>
    <x:row r="8" ht="20" customHeight="1"/>
    <x:row r="9" ht="28" customHeight="1">
      <x:c r="A9" s="11" t="inlineStr">
        <x:is>
          <x:t xml:space="preserve">Шаг</x:t>
        </x:is>
      </x:c>
      <x:c r="B9" s="11" t="inlineStr">
        <x:is>
          <x:t xml:space="preserve">Волна</x:t>
        </x:is>
      </x:c>
      <x:c r="C9" s="11" t="inlineStr">
        <x:is>
          <x:t xml:space="preserve">Что делаем</x:t>
        </x:is>
      </x:c>
      <x:c r="D9" s="11" t="inlineStr">
        <x:is>
          <x:t xml:space="preserve">Какие таблицы трогаем</x:t>
        </x:is>
      </x:c>
      <x:c r="E9" s="11" t="inlineStr">
        <x:is>
          <x:t xml:space="preserve">Минимальный результат</x:t>
        </x:is>
      </x:c>
      <x:c r="F9" s="11" t="inlineStr">
        <x:is>
          <x:t xml:space="preserve">Стоп-условие</x:t>
        </x:is>
      </x:c>
      <x:c r="G9" s="11" t="inlineStr">
        <x:is>
          <x:t xml:space="preserve">Что рождаем потом</x:t>
        </x:is>
      </x:c>
    </x:row>
    <x:row r="10" ht="28" customHeight="1">
      <x:c r="A10" s="12" t="n">
        <x:v>1</x:v>
      </x:c>
      <x:c r="B10" s="12" t="inlineStr">
        <x:is>
          <x:t xml:space="preserve">горизонтальная</x:t>
        </x:is>
      </x:c>
      <x:c r="C10" s="12" t="inlineStr">
        <x:is>
          <x:t xml:space="preserve">Заводим адрес корпуса</x:t>
        </x:is>
      </x:c>
      <x:c r="D10" s="12" t="inlineStr">
        <x:is>
          <x:t xml:space="preserve">corpus_map</x:t>
        </x:is>
      </x:c>
      <x:c r="E10" s="12" t="inlineStr">
        <x:is>
          <x:t xml:space="preserve">У каждого нового куска есть source_secondary и порядок</x:t>
        </x:is>
      </x:c>
      <x:c r="F10" s="12" t="inlineStr">
        <x:is>
          <x:t xml:space="preserve">Адрес стабилен и не плавает</x:t>
        </x:is>
      </x:c>
      <x:c r="G10" s="12" t="inlineStr">
        <x:is>
          <x:t xml:space="preserve">witnesses</x:t>
        </x:is>
      </x:c>
    </x:row>
    <x:row r="11" ht="28" customHeight="1">
      <x:c r="A11" s="13" t="n">
        <x:v>2</x:v>
      </x:c>
      <x:c r="B11" s="13" t="inlineStr">
        <x:is>
          <x:t xml:space="preserve">горизонтальная</x:t>
        </x:is>
      </x:c>
      <x:c r="C11" s="13" t="inlineStr">
        <x:is>
          <x:t xml:space="preserve">Фиксируем текстовых свидетелей</x:t>
        </x:is>
      </x:c>
      <x:c r="D11" s="13" t="inlineStr">
        <x:is>
          <x:t xml:space="preserve">witnesses</x:t>
        </x:is>
      </x:c>
      <x:c r="E11" s="13" t="inlineStr">
        <x:is>
          <x:t xml:space="preserve">Понятно, кто canonical, кто translation, кто bridge</x:t>
        </x:is>
      </x:c>
      <x:c r="F11" s="13" t="inlineStr">
        <x:is>
          <x:t xml:space="preserve">У каждого текста есть witness_id и role</x:t>
        </x:is>
      </x:c>
      <x:c r="G11" s="13" t="inlineStr">
        <x:is>
          <x:t xml:space="preserve">segments</x:t>
        </x:is>
      </x:c>
    </x:row>
    <x:row r="12" ht="28" customHeight="1">
      <x:c r="A12" s="12" t="n">
        <x:v>3</x:v>
      </x:c>
      <x:c r="B12" s="12" t="inlineStr">
        <x:is>
          <x:t xml:space="preserve">горизонтальная</x:t>
        </x:is>
      </x:c>
      <x:c r="C12" s="12" t="inlineStr">
        <x:is>
          <x:t xml:space="preserve">Режем на обозримые сегменты</x:t>
        </x:is>
      </x:c>
      <x:c r="D12" s="12" t="inlineStr">
        <x:is>
          <x:t xml:space="preserve">segments</x:t>
        </x:is>
      </x:c>
      <x:c r="E12" s="12" t="inlineStr">
        <x:is>
          <x:t xml:space="preserve">Есть spine: [n], segment_id, witness_scope</x:t>
        </x:is>
      </x:c>
      <x:c r="F12" s="12" t="inlineStr">
        <x:is>
          <x:t xml:space="preserve">Можно сослаться на любой кусок текста</x:t>
        </x:is>
      </x:c>
      <x:c r="G12" s="12" t="inlineStr">
        <x:is>
          <x:t xml:space="preserve">nodes</x:t>
        </x:is>
      </x:c>
    </x:row>
    <x:row r="13" ht="28" customHeight="1">
      <x:c r="A13" s="13" t="n">
        <x:v>4</x:v>
      </x:c>
      <x:c r="B13" s="13" t="inlineStr">
        <x:is>
          <x:t xml:space="preserve">горизонтальная</x:t>
        </x:is>
      </x:c>
      <x:c r="C13" s="13" t="inlineStr">
        <x:is>
          <x:t xml:space="preserve">Выделяем переиспользуемые узлы</x:t>
        </x:is>
      </x:c>
      <x:c r="D13" s="13" t="inlineStr">
        <x:is>
          <x:t xml:space="preserve">nodes</x:t>
        </x:is>
      </x:c>
      <x:c r="E13" s="13" t="inlineStr">
        <x:is>
          <x:t xml:space="preserve">Сущности, места, символы, понятия получили node_id</x:t>
        </x:is>
      </x:c>
      <x:c r="F13" s="13" t="inlineStr">
        <x:is>
          <x:t xml:space="preserve">Нет лишних дублей смыслов</x:t>
        </x:is>
      </x:c>
      <x:c r="G13" s="13" t="inlineStr">
        <x:is>
          <x:t xml:space="preserve">event_state_nodes</x:t>
        </x:is>
      </x:c>
    </x:row>
    <x:row r="14" ht="28" customHeight="1">
      <x:c r="A14" s="12" t="n">
        <x:v>5</x:v>
      </x:c>
      <x:c r="B14" s="12" t="inlineStr">
        <x:is>
          <x:t xml:space="preserve">горизонтальная</x:t>
        </x:is>
      </x:c>
      <x:c r="C14" s="12" t="inlineStr">
        <x:is>
          <x:t xml:space="preserve">Выделяем события и состояния</x:t>
        </x:is>
      </x:c>
      <x:c r="D14" s="12" t="inlineStr">
        <x:is>
          <x:t xml:space="preserve">event_state_nodes</x:t>
        </x:is>
      </x:c>
      <x:c r="E14" s="12" t="inlineStr">
        <x:is>
          <x:t xml:space="preserve">Сложные строки получили es_id</x:t>
        </x:is>
      </x:c>
      <x:c r="F14" s="12" t="inlineStr">
        <x:is>
          <x:t xml:space="preserve">Тройки больше не ломаются на простоте</x:t>
        </x:is>
      </x:c>
      <x:c r="G14" s="12" t="inlineStr">
        <x:is>
          <x:t xml:space="preserve">edges</x:t>
        </x:is>
      </x:c>
    </x:row>
    <x:row r="15" ht="28" customHeight="1">
      <x:c r="A15" s="13" t="n">
        <x:v>6</x:v>
      </x:c>
      <x:c r="B15" s="13" t="inlineStr">
        <x:is>
          <x:t xml:space="preserve">горизонтальная</x:t>
        </x:is>
      </x:c>
      <x:c r="C15" s="13" t="inlineStr">
        <x:is>
          <x:t xml:space="preserve">Строим нормализованные связи</x:t>
        </x:is>
      </x:c>
      <x:c r="D15" s="13" t="inlineStr">
        <x:is>
          <x:t xml:space="preserve">edges</x:t>
        </x:is>
      </x:c>
      <x:c r="E15" s="13" t="inlineStr">
        <x:is>
          <x:t xml:space="preserve">Есть базовый граф и anchors</x:t>
        </x:is>
      </x:c>
      <x:c r="F15" s="13" t="inlineStr">
        <x:is>
          <x:t xml:space="preserve">Можно собрать минимальный reasoning path</x:t>
        </x:is>
      </x:c>
      <x:c r="G15" s="13" t="inlineStr">
        <x:is>
          <x:t xml:space="preserve">translation_tensions</x:t>
        </x:is>
      </x:c>
    </x:row>
    <x:row r="16" ht="28" customHeight="1">
      <x:c r="A16" s="12" t="n">
        <x:v>7</x:v>
      </x:c>
      <x:c r="B16" s="12" t="inlineStr">
        <x:is>
          <x:t xml:space="preserve">горизонтальная+</x:t>
        </x:is>
      </x:c>
      <x:c r="C16" s="12" t="inlineStr">
        <x:is>
          <x:t xml:space="preserve">Фиксируем нагрузочные дрейфы перевода</x:t>
        </x:is>
      </x:c>
      <x:c r="D16" s="12" t="inlineStr">
        <x:is>
          <x:t xml:space="preserve">translation_tensions</x:t>
        </x:is>
      </x:c>
      <x:c r="E16" s="12" t="inlineStr">
        <x:is>
          <x:t xml:space="preserve">Пойманы только философски значимые tension points</x:t>
        </x:is>
      </x:c>
      <x:c r="F16" s="12" t="inlineStr">
        <x:is>
          <x:t xml:space="preserve">Нет шума из мелкой стилистики</x:t>
        </x:is>
      </x:c>
      <x:c r="G16" s="12" t="inlineStr">
        <x:is>
          <x:t xml:space="preserve">следующий фрагмент или glosses</x:t>
        </x:is>
      </x:c>
    </x:row>
    <x:row r="17" ht="28" customHeight="1">
      <x:c r="A17" s="13" t="n">
        <x:v>8</x:v>
      </x:c>
      <x:c r="B17" s="13" t="inlineStr">
        <x:is>
          <x:t xml:space="preserve">вертикальная</x:t>
        </x:is>
      </x:c>
      <x:c r="C17" s="13" t="inlineStr">
        <x:is>
          <x:t xml:space="preserve">Сохраняем лексические поверхности</x:t>
        </x:is>
      </x:c>
      <x:c r="D17" s="13" t="inlineStr">
        <x:is>
          <x:t xml:space="preserve">witness_glosses</x:t>
        </x:is>
      </x:c>
      <x:c r="E17" s="13" t="inlineStr">
        <x:is>
          <x:t xml:space="preserve">Есть реестр слов, которые нельзя полностью сгладить</x:t>
        </x:is>
      </x:c>
      <x:c r="F17" s="13" t="inlineStr">
        <x:is>
          <x:t xml:space="preserve">Glosses работают как мост к witness-форме</x:t>
        </x:is>
      </x:c>
      <x:c r="G17" s="13" t="inlineStr">
        <x:is>
          <x:t xml:space="preserve">principles</x:t>
        </x:is>
      </x:c>
    </x:row>
    <x:row r="18" ht="28" customHeight="1">
      <x:c r="A18" s="12" t="n">
        <x:v>9</x:v>
      </x:c>
      <x:c r="B18" s="12" t="inlineStr">
        <x:is>
          <x:t xml:space="preserve">вертикальная</x:t>
        </x:is>
      </x:c>
      <x:c r="C18" s="12" t="inlineStr">
        <x:is>
          <x:t xml:space="preserve">Снимаем принципы и commentary</x:t>
        </x:is>
      </x:c>
      <x:c r="D18" s="12" t="inlineStr">
        <x:is>
          <x:t xml:space="preserve">principles</x:t>
        </x:is>
      </x:c>
      <x:c r="E18" s="12" t="inlineStr">
        <x:is>
          <x:t xml:space="preserve">Есть distilled principles и authored commentary</x:t>
        </x:is>
      </x:c>
      <x:c r="F18" s="12" t="inlineStr">
        <x:is>
          <x:t xml:space="preserve">Принципы не маскируются под source fact</x:t>
        </x:is>
      </x:c>
      <x:c r="G18" s="12" t="inlineStr">
        <x:is>
          <x:t xml:space="preserve">analogy_nodes / reasoning_paths</x:t>
        </x:is>
      </x:c>
    </x:row>
    <x:row r="19" ht="28" customHeight="1">
      <x:c r="A19" s="13" t="n">
        <x:v>10</x:v>
      </x:c>
      <x:c r="B19" s="13" t="inlineStr">
        <x:is>
          <x:t xml:space="preserve">третья волна</x:t>
        </x:is>
      </x:c>
      <x:c r="C19" s="13" t="inlineStr">
        <x:is>
          <x:t xml:space="preserve">Выносим повторяющиеся образные мосты</x:t>
        </x:is>
      </x:c>
      <x:c r="D19" s="13" t="inlineStr">
        <x:is>
          <x:t xml:space="preserve">analogy_nodes</x:t>
        </x:is>
      </x:c>
      <x:c r="E19" s="13" t="inlineStr">
        <x:is>
          <x:t xml:space="preserve">Аналогии стали системой, а не случайностью</x:t>
        </x:is>
      </x:c>
      <x:c r="F19" s="13" t="inlineStr">
        <x:is>
          <x:t xml:space="preserve">Есть 3+ аналогии одного класса</x:t>
        </x:is>
      </x:c>
      <x:c r="G19" s="13" t="inlineStr">
        <x:is>
          <x:t xml:space="preserve">reasoning_paths</x:t>
        </x:is>
      </x:c>
    </x:row>
    <x:row r="20" ht="28" customHeight="1">
      <x:c r="A20" s="12" t="n">
        <x:v>11</x:v>
      </x:c>
      <x:c r="B20" s="12" t="inlineStr">
        <x:is>
          <x:t xml:space="preserve">третья волна</x:t>
        </x:is>
      </x:c>
      <x:c r="C20" s="12" t="inlineStr">
        <x:is>
          <x:t xml:space="preserve">Собираем маршруты рассуждения</x:t>
        </x:is>
      </x:c>
      <x:c r="D20" s="12" t="inlineStr">
        <x:is>
          <x:t xml:space="preserve">reasoning_paths</x:t>
        </x:is>
      </x:c>
      <x:c r="E20" s="12" t="inlineStr">
        <x:is>
          <x:t xml:space="preserve">Ответы на повторяющиеся вопросы можно строить по paths</x:t>
        </x:is>
      </x:c>
      <x:c r="F20" s="12" t="inlineStr">
        <x:is>
          <x:t xml:space="preserve">Один и тот же маршрут повторяется стабильно</x:t>
        </x:is>
      </x:c>
      <x:c r="G20" s="12" t="inlineStr">
        <x:is>
          <x:t xml:space="preserve">lineage_links / query_views</x:t>
        </x:is>
      </x:c>
    </x:row>
    <x:row r="21" ht="28" customHeight="1">
      <x:c r="A21" s="13" t="n">
        <x:v>12</x:v>
      </x:c>
      <x:c r="B21" s="13" t="inlineStr">
        <x:is>
          <x:t xml:space="preserve">третья волна</x:t>
        </x:is>
      </x:c>
      <x:c r="C21" s="13" t="inlineStr">
        <x:is>
          <x:t xml:space="preserve">Строим внешние и прикладные проекции</x:t>
        </x:is>
      </x:c>
      <x:c r="D21" s="13" t="inlineStr">
        <x:is>
          <x:t xml:space="preserve">lineage_links; query_views; agent_witnesses</x:t>
        </x:is>
      </x:c>
      <x:c r="E21" s="13" t="inlineStr">
        <x:is>
          <x:t xml:space="preserve">Появились controlled projections поверх ядра</x:t>
        </x:is>
      </x:c>
      <x:c r="F21" s="13" t="inlineStr">
        <x:is>
          <x:t xml:space="preserve">Проекции не подменяют источник</x:t>
        </x:is>
      </x:c>
      <x:c r="G21" s="13" t="inlineStr">
        <x:is>
          <x:t xml:space="preserve">следующий виток корпуса</x:t>
        </x:is>
      </x:c>
    </x:row>
  </x:sheetData>
  <x:mergeCells>
    <x:mergeCell ref="B5:G5"/>
    <x:mergeCell ref="B4:G4"/>
    <x:mergeCell ref="B6:G6"/>
  </x:mergeCells>
  <x:pageMargins left="0.7" right="0.7" top="0.75" bottom="0.75" header="0.3" footer="0.3"/>
  <x:tableParts count="1">
    <x:tablePart xmlns:r="http://schemas.openxmlformats.org/officeDocument/2006/relationships" r:id="R8778eeecb2af443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28" customWidth="1"/>
    <x:col min="4" max="4" width="24" customWidth="1"/>
    <x:col min="5" max="5" width="18" customWidth="1"/>
    <x:col min="6" max="6" width="22" customWidth="1"/>
    <x:col min="7" max="7" width="20" customWidth="1"/>
    <x:col min="8" max="8" width="32" customWidth="1"/>
    <x:col min="9" max="9" width="24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8" customWidth="1"/>
    <x:col min="15" max="15" width="8" customWidth="1"/>
    <x:col min="16" max="16" width="10" customWidth="1"/>
    <x:col min="17" max="17" width="14" customWidth="1"/>
    <x:col min="18" max="18" width="26" customWidth="1"/>
    <x:col min="19" max="19" width="14" customWidth="1"/>
    <x:col min="20" max="20" width="18" customWidth="1"/>
    <x:col min="21" max="21" width="36" customWidth="1"/>
  </x:cols>
  <x:sheetData>
    <x:row r="1" ht="24" customHeight="1">
      <x:c r="A1" s="1" t="inlineStr">
        <x:is>
          <x:t xml:space="preserve">Master-таблица связности по [1]-[12]</x:t>
        </x:is>
      </x:c>
    </x:row>
    <x:row r="2" ht="20" customHeight="1">
      <x:c r="A2" s="2" t="inlineStr">
        <x:is>
          <x:t xml:space="preserve">Один центральный слой: source edges, bridge edges и principle edges по всему прологу.</x:t>
        </x:is>
      </x:c>
    </x:row>
    <x:row r="4">
      <x:c r="A4" s="3" t="inlineStr">
        <x:is>
          <x:t xml:space="preserve">Назначение</x:t>
        </x:is>
      </x:c>
      <x:c r="B4" s="4" t="inlineStr">
        <x:is>
          <x:t xml:space="preserve">Свести в одном месте событийную, понятийную и принципиальную связность по [1]-[12].</x:t>
        </x:is>
      </x:c>
    </x:row>
    <x:row r="5">
      <x:c r="A5" s="3" t="inlineStr">
        <x:is>
          <x:t xml:space="preserve">Всего строк</x:t>
        </x:is>
      </x:c>
      <x:c r="B5" s="14">
        <x:f>COUNTA(A12:A139)</x:f>
        <x:v>128</x:v>
      </x:c>
    </x:row>
    <x:row r="6">
      <x:c r="A6" s="3" t="inlineStr">
        <x:is>
          <x:t xml:space="preserve">source_edge</x:t>
        </x:is>
      </x:c>
      <x:c r="B6" s="14">
        <x:f>COUNTIF(B12:B139,"source_edge")</x:f>
        <x:v>95</x:v>
      </x:c>
    </x:row>
    <x:row r="7">
      <x:c r="A7" s="3" t="inlineStr">
        <x:is>
          <x:t xml:space="preserve">bridge_edge</x:t>
        </x:is>
      </x:c>
      <x:c r="B7" s="14">
        <x:f>COUNTIF(B12:B139,"bridge_edge")</x:f>
        <x:v>11</x:v>
      </x:c>
    </x:row>
    <x:row r="8">
      <x:c r="A8" s="3" t="inlineStr">
        <x:is>
          <x:t xml:space="preserve">principle_edge</x:t>
        </x:is>
      </x:c>
      <x:c r="B8" s="14">
        <x:f>COUNTIF(B12:B139,"principle_edge")</x:f>
        <x:v>22</x:v>
      </x:c>
    </x:row>
    <x:row r="9">
      <x:c r="A9" s="3" t="inlineStr">
        <x:is>
          <x:t xml:space="preserve">Как читать</x:t>
        </x:is>
      </x:c>
      <x:c r="B9" s="4" t="inlineStr">
        <x:is>
          <x:t xml:space="preserve">Фильтруй по row_kind, layer, p_start/p_end, paragraph_tags и connectivity_role; anchor-колонки держат обратную связь с источником.</x:t>
        </x:is>
      </x:c>
    </x:row>
    <x:row r="11" ht="32" customHeight="1">
      <x:c r="A11" s="5" t="inlineStr">
        <x:is>
          <x:t xml:space="preserve">master_id</x:t>
        </x:is>
      </x:c>
      <x:c r="B11" s="5" t="inlineStr">
        <x:is>
          <x:t xml:space="preserve">row_kind</x:t>
        </x:is>
      </x:c>
      <x:c r="C11" s="5" t="inlineStr">
        <x:is>
          <x:t xml:space="preserve">from_id</x:t>
        </x:is>
      </x:c>
      <x:c r="D11" s="5" t="inlineStr">
        <x:is>
          <x:t xml:space="preserve">from_label_ru</x:t>
        </x:is>
      </x:c>
      <x:c r="E11" s="5" t="inlineStr">
        <x:is>
          <x:t xml:space="preserve">from_class</x:t>
        </x:is>
      </x:c>
      <x:c r="F11" s="5" t="inlineStr">
        <x:is>
          <x:t xml:space="preserve">predicate_id</x:t>
        </x:is>
      </x:c>
      <x:c r="G11" s="5" t="inlineStr">
        <x:is>
          <x:t xml:space="preserve">predicate_ru</x:t>
        </x:is>
      </x:c>
      <x:c r="H11" s="5" t="inlineStr">
        <x:is>
          <x:t xml:space="preserve">to_id</x:t>
        </x:is>
      </x:c>
      <x:c r="I11" s="5" t="inlineStr">
        <x:is>
          <x:t xml:space="preserve">to_label_ru</x:t>
        </x:is>
      </x:c>
      <x:c r="J11" s="5" t="inlineStr">
        <x:is>
          <x:t xml:space="preserve">to_class</x:t>
        </x:is>
      </x:c>
      <x:c r="K11" s="5" t="inlineStr">
        <x:is>
          <x:t xml:space="preserve">layer</x:t>
        </x:is>
      </x:c>
      <x:c r="L11" s="5" t="inlineStr">
        <x:is>
          <x:t xml:space="preserve">source_secondary_start</x:t>
        </x:is>
      </x:c>
      <x:c r="M11" s="5" t="inlineStr">
        <x:is>
          <x:t xml:space="preserve">source_secondary_end</x:t>
        </x:is>
      </x:c>
      <x:c r="N11" s="5" t="inlineStr">
        <x:is>
          <x:t xml:space="preserve">p_start</x:t>
        </x:is>
      </x:c>
      <x:c r="O11" s="5" t="inlineStr">
        <x:is>
          <x:t xml:space="preserve">p_end</x:t>
        </x:is>
      </x:c>
      <x:c r="P11" s="5" t="inlineStr">
        <x:is>
          <x:t xml:space="preserve">n_range</x:t>
        </x:is>
      </x:c>
      <x:c r="Q11" s="5" t="inlineStr">
        <x:is>
          <x:t xml:space="preserve">paragraph_tags</x:t>
        </x:is>
      </x:c>
      <x:c r="R11" s="5" t="inlineStr">
        <x:is>
          <x:t xml:space="preserve">segment_ids</x:t>
        </x:is>
      </x:c>
      <x:c r="S11" s="5" t="inlineStr">
        <x:is>
          <x:t xml:space="preserve">witness_scope</x:t>
        </x:is>
      </x:c>
      <x:c r="T11" s="5" t="inlineStr">
        <x:is>
          <x:t xml:space="preserve">connectivity_role</x:t>
        </x:is>
      </x:c>
      <x:c r="U11" s="5" t="inlineStr">
        <x:is>
          <x:t xml:space="preserve">note_ru</x:t>
        </x:is>
      </x:c>
    </x:row>
    <x:row r="12" ht="30" customHeight="1">
      <x:c r="A12" s="15" t="inlineStr">
        <x:is>
          <x:t xml:space="preserve">m001</x:t>
        </x:is>
      </x:c>
      <x:c r="B12" s="15" t="inlineStr">
        <x:is>
          <x:t xml:space="preserve">source_edge</x:t>
        </x:is>
      </x:c>
      <x:c r="C12" s="15" t="inlineStr">
        <x:is>
          <x:t xml:space="preserve">n.zarathustra</x:t>
        </x:is>
      </x:c>
      <x:c r="D12" s="15" t="inlineStr">
        <x:is>
          <x:t xml:space="preserve">Заратустра</x:t>
        </x:is>
      </x:c>
      <x:c r="E12" s="15" t="inlineStr">
        <x:is>
          <x:t xml:space="preserve">persona</x:t>
        </x:is>
      </x:c>
      <x:c r="F12" s="15" t="inlineStr">
        <x:is>
          <x:t xml:space="preserve">participates_in</x:t>
        </x:is>
      </x:c>
      <x:c r="G12" s="15" t="inlineStr">
        <x:is>
          <x:t xml:space="preserve">участвует в</x:t>
        </x:is>
      </x:c>
      <x:c r="H12" s="15" t="inlineStr">
        <x:is>
          <x:t xml:space="preserve">ev.p1.departure_from_origin</x:t>
        </x:is>
      </x:c>
      <x:c r="I12" s="15" t="inlineStr">
        <x:is>
          <x:t xml:space="preserve">уход из родины и озера</x:t>
        </x:is>
      </x:c>
      <x:c r="J12" s="15" t="inlineStr">
        <x:is>
          <x:t xml:space="preserve">event</x:t>
        </x:is>
      </x:c>
      <x:c r="K12" s="15" t="inlineStr">
        <x:is>
          <x:t xml:space="preserve">source_linked</x:t>
        </x:is>
      </x:c>
      <x:c r="L12" s="15" t="inlineStr">
        <x:is>
          <x:t xml:space="preserve">1,1,1,1</x:t>
        </x:is>
      </x:c>
      <x:c r="M12" s="15" t="inlineStr">
        <x:is>
          <x:t xml:space="preserve"/>
        </x:is>
      </x:c>
      <x:c r="N12" s="15" t="n">
        <x:v>1</x:v>
      </x:c>
      <x:c r="O12" s="15" t="n">
        <x:v>1</x:v>
      </x:c>
      <x:c r="P12" s="15" t="inlineStr">
        <x:is>
          <x:t xml:space="preserve">[1]</x:t>
        </x:is>
      </x:c>
      <x:c r="Q12" s="15" t="inlineStr">
        <x:is>
          <x:t xml:space="preserve">|p1|</x:t>
        </x:is>
      </x:c>
      <x:c r="R12" s="15" t="inlineStr">
        <x:is>
          <x:t xml:space="preserve">seg.1.1.1.1</x:t>
        </x:is>
      </x:c>
      <x:c r="S12" s="15" t="inlineStr">
        <x:is>
          <x:t xml:space="preserve">de+ru+en</x:t>
        </x:is>
      </x:c>
      <x:c r="T12" s="15" t="inlineStr">
        <x:is>
          <x:t xml:space="preserve">local_chain</x:t>
        </x:is>
      </x:c>
      <x:c r="U12" s="15" t="inlineStr">
        <x:is>
          <x:t xml:space="preserve">стартовый пространственный разрыв</x:t>
        </x:is>
      </x:c>
    </x:row>
    <x:row r="13" ht="30" customHeight="1">
      <x:c r="A13" s="15" t="inlineStr">
        <x:is>
          <x:t xml:space="preserve">m002</x:t>
        </x:is>
      </x:c>
      <x:c r="B13" s="15" t="inlineStr">
        <x:is>
          <x:t xml:space="preserve">source_edge</x:t>
        </x:is>
      </x:c>
      <x:c r="C13" s="15" t="inlineStr">
        <x:is>
          <x:t xml:space="preserve">ev.p1.departure_from_origin</x:t>
        </x:is>
      </x:c>
      <x:c r="D13" s="15" t="inlineStr">
        <x:is>
          <x:t xml:space="preserve">уход из родины и озера</x:t>
        </x:is>
      </x:c>
      <x:c r="E13" s="15" t="inlineStr">
        <x:is>
          <x:t xml:space="preserve">event</x:t>
        </x:is>
      </x:c>
      <x:c r="F13" s="15" t="inlineStr">
        <x:is>
          <x:t xml:space="preserve">leaves</x:t>
        </x:is>
      </x:c>
      <x:c r="G13" s="15" t="inlineStr">
        <x:is>
          <x:t xml:space="preserve">покидает</x:t>
        </x:is>
      </x:c>
      <x:c r="H13" s="15" t="inlineStr">
        <x:is>
          <x:t xml:space="preserve">n.homeland</x:t>
        </x:is>
      </x:c>
      <x:c r="I13" s="15" t="inlineStr">
        <x:is>
          <x:t xml:space="preserve">родина</x:t>
        </x:is>
      </x:c>
      <x:c r="J13" s="15" t="inlineStr">
        <x:is>
          <x:t xml:space="preserve">place</x:t>
        </x:is>
      </x:c>
      <x:c r="K13" s="15" t="inlineStr">
        <x:is>
          <x:t xml:space="preserve">source_linked</x:t>
        </x:is>
      </x:c>
      <x:c r="L13" s="15" t="inlineStr">
        <x:is>
          <x:t xml:space="preserve">1,1,1,1</x:t>
        </x:is>
      </x:c>
      <x:c r="M13" s="15" t="inlineStr">
        <x:is>
          <x:t xml:space="preserve"/>
        </x:is>
      </x:c>
      <x:c r="N13" s="15" t="n">
        <x:v>1</x:v>
      </x:c>
      <x:c r="O13" s="15" t="n">
        <x:v>1</x:v>
      </x:c>
      <x:c r="P13" s="15" t="inlineStr">
        <x:is>
          <x:t xml:space="preserve">[1]</x:t>
        </x:is>
      </x:c>
      <x:c r="Q13" s="15" t="inlineStr">
        <x:is>
          <x:t xml:space="preserve">|p1|</x:t>
        </x:is>
      </x:c>
      <x:c r="R13" s="15" t="inlineStr">
        <x:is>
          <x:t xml:space="preserve">seg.1.1.1.1</x:t>
        </x:is>
      </x:c>
      <x:c r="S13" s="15" t="inlineStr">
        <x:is>
          <x:t xml:space="preserve">de+ru+en</x:t>
        </x:is>
      </x:c>
      <x:c r="T13" s="15" t="inlineStr">
        <x:is>
          <x:t xml:space="preserve">local_chain</x:t>
        </x:is>
      </x:c>
      <x:c r="U13" s="15" t="inlineStr">
        <x:is>
          <x:t xml:space="preserve"/>
        </x:is>
      </x:c>
    </x:row>
    <x:row r="14" ht="30" customHeight="1">
      <x:c r="A14" s="15" t="inlineStr">
        <x:is>
          <x:t xml:space="preserve">m003</x:t>
        </x:is>
      </x:c>
      <x:c r="B14" s="15" t="inlineStr">
        <x:is>
          <x:t xml:space="preserve">source_edge</x:t>
        </x:is>
      </x:c>
      <x:c r="C14" s="15" t="inlineStr">
        <x:is>
          <x:t xml:space="preserve">ev.p1.departure_from_origin</x:t>
        </x:is>
      </x:c>
      <x:c r="D14" s="15" t="inlineStr">
        <x:is>
          <x:t xml:space="preserve">уход из родины и озера</x:t>
        </x:is>
      </x:c>
      <x:c r="E14" s="15" t="inlineStr">
        <x:is>
          <x:t xml:space="preserve">event</x:t>
        </x:is>
      </x:c>
      <x:c r="F14" s="15" t="inlineStr">
        <x:is>
          <x:t xml:space="preserve">leaves</x:t>
        </x:is>
      </x:c>
      <x:c r="G14" s="15" t="inlineStr">
        <x:is>
          <x:t xml:space="preserve">покидает</x:t>
        </x:is>
      </x:c>
      <x:c r="H14" s="15" t="inlineStr">
        <x:is>
          <x:t xml:space="preserve">n.lake_of_homeland</x:t>
        </x:is>
      </x:c>
      <x:c r="I14" s="15" t="inlineStr">
        <x:is>
          <x:t xml:space="preserve">озеро родины</x:t>
        </x:is>
      </x:c>
      <x:c r="J14" s="15" t="inlineStr">
        <x:is>
          <x:t xml:space="preserve">place-symbol</x:t>
        </x:is>
      </x:c>
      <x:c r="K14" s="15" t="inlineStr">
        <x:is>
          <x:t xml:space="preserve">source_linked</x:t>
        </x:is>
      </x:c>
      <x:c r="L14" s="15" t="inlineStr">
        <x:is>
          <x:t xml:space="preserve">1,1,1,1</x:t>
        </x:is>
      </x:c>
      <x:c r="M14" s="15" t="inlineStr">
        <x:is>
          <x:t xml:space="preserve"/>
        </x:is>
      </x:c>
      <x:c r="N14" s="15" t="n">
        <x:v>1</x:v>
      </x:c>
      <x:c r="O14" s="15" t="n">
        <x:v>1</x:v>
      </x:c>
      <x:c r="P14" s="15" t="inlineStr">
        <x:is>
          <x:t xml:space="preserve">[1]</x:t>
        </x:is>
      </x:c>
      <x:c r="Q14" s="15" t="inlineStr">
        <x:is>
          <x:t xml:space="preserve">|p1|</x:t>
        </x:is>
      </x:c>
      <x:c r="R14" s="15" t="inlineStr">
        <x:is>
          <x:t xml:space="preserve">seg.1.1.1.1</x:t>
        </x:is>
      </x:c>
      <x:c r="S14" s="15" t="inlineStr">
        <x:is>
          <x:t xml:space="preserve">de+ru+en</x:t>
        </x:is>
      </x:c>
      <x:c r="T14" s="15" t="inlineStr">
        <x:is>
          <x:t xml:space="preserve">local_chain</x:t>
        </x:is>
      </x:c>
      <x:c r="U14" s="15" t="inlineStr">
        <x:is>
          <x:t xml:space="preserve"/>
        </x:is>
      </x:c>
    </x:row>
    <x:row r="15" ht="30" customHeight="1">
      <x:c r="A15" s="15" t="inlineStr">
        <x:is>
          <x:t xml:space="preserve">m004</x:t>
        </x:is>
      </x:c>
      <x:c r="B15" s="15" t="inlineStr">
        <x:is>
          <x:t xml:space="preserve">source_edge</x:t>
        </x:is>
      </x:c>
      <x:c r="C15" s="15" t="inlineStr">
        <x:is>
          <x:t xml:space="preserve">ev.p1.departure_from_origin</x:t>
        </x:is>
      </x:c>
      <x:c r="D15" s="15" t="inlineStr">
        <x:is>
          <x:t xml:space="preserve">уход из родины и озера</x:t>
        </x:is>
      </x:c>
      <x:c r="E15" s="15" t="inlineStr">
        <x:is>
          <x:t xml:space="preserve">event</x:t>
        </x:is>
      </x:c>
      <x:c r="F15" s="15" t="inlineStr">
        <x:is>
          <x:t xml:space="preserve">goes_to</x:t>
        </x:is>
      </x:c>
      <x:c r="G15" s="15" t="inlineStr">
        <x:is>
          <x:t xml:space="preserve">идёт в</x:t>
        </x:is>
      </x:c>
      <x:c r="H15" s="15" t="inlineStr">
        <x:is>
          <x:t xml:space="preserve">n.mountains</x:t>
        </x:is>
      </x:c>
      <x:c r="I15" s="15" t="inlineStr">
        <x:is>
          <x:t xml:space="preserve">горы</x:t>
        </x:is>
      </x:c>
      <x:c r="J15" s="15" t="inlineStr">
        <x:is>
          <x:t xml:space="preserve">place</x:t>
        </x:is>
      </x:c>
      <x:c r="K15" s="15" t="inlineStr">
        <x:is>
          <x:t xml:space="preserve">source_linked</x:t>
        </x:is>
      </x:c>
      <x:c r="L15" s="15" t="inlineStr">
        <x:is>
          <x:t xml:space="preserve">1,1,1,1</x:t>
        </x:is>
      </x:c>
      <x:c r="M15" s="15" t="inlineStr">
        <x:is>
          <x:t xml:space="preserve"/>
        </x:is>
      </x:c>
      <x:c r="N15" s="15" t="n">
        <x:v>1</x:v>
      </x:c>
      <x:c r="O15" s="15" t="n">
        <x:v>1</x:v>
      </x:c>
      <x:c r="P15" s="15" t="inlineStr">
        <x:is>
          <x:t xml:space="preserve">[1]</x:t>
        </x:is>
      </x:c>
      <x:c r="Q15" s="15" t="inlineStr">
        <x:is>
          <x:t xml:space="preserve">|p1|</x:t>
        </x:is>
      </x:c>
      <x:c r="R15" s="15" t="inlineStr">
        <x:is>
          <x:t xml:space="preserve">seg.1.1.1.1</x:t>
        </x:is>
      </x:c>
      <x:c r="S15" s="15" t="inlineStr">
        <x:is>
          <x:t xml:space="preserve">de+ru+en</x:t>
        </x:is>
      </x:c>
      <x:c r="T15" s="15" t="inlineStr">
        <x:is>
          <x:t xml:space="preserve">local_chain</x:t>
        </x:is>
      </x:c>
      <x:c r="U15" s="15" t="inlineStr">
        <x:is>
          <x:t xml:space="preserve"/>
        </x:is>
      </x:c>
    </x:row>
    <x:row r="16" ht="30" customHeight="1">
      <x:c r="A16" s="15" t="inlineStr">
        <x:is>
          <x:t xml:space="preserve">m005</x:t>
        </x:is>
      </x:c>
      <x:c r="B16" s="15" t="inlineStr">
        <x:is>
          <x:t xml:space="preserve">source_edge</x:t>
        </x:is>
      </x:c>
      <x:c r="C16" s="15" t="inlineStr">
        <x:is>
          <x:t xml:space="preserve">n.zarathustra</x:t>
        </x:is>
      </x:c>
      <x:c r="D16" s="15" t="inlineStr">
        <x:is>
          <x:t xml:space="preserve">Заратустра</x:t>
        </x:is>
      </x:c>
      <x:c r="E16" s="15" t="inlineStr">
        <x:is>
          <x:t xml:space="preserve">persona</x:t>
        </x:is>
      </x:c>
      <x:c r="F16" s="15" t="inlineStr">
        <x:is>
          <x:t xml:space="preserve">enters_state</x:t>
        </x:is>
      </x:c>
      <x:c r="G16" s="15" t="inlineStr">
        <x:is>
          <x:t xml:space="preserve">входит в состояние</x:t>
        </x:is>
      </x:c>
      <x:c r="H16" s="15" t="inlineStr">
        <x:is>
          <x:t xml:space="preserve">st.p1.solitary_ripening_10y</x:t>
        </x:is>
      </x:c>
      <x:c r="I16" s="15" t="inlineStr">
        <x:is>
          <x:t xml:space="preserve">десятилетнее горное уединение</x:t>
        </x:is>
      </x:c>
      <x:c r="J16" s="15" t="inlineStr">
        <x:is>
          <x:t xml:space="preserve">state</x:t>
        </x:is>
      </x:c>
      <x:c r="K16" s="15" t="inlineStr">
        <x:is>
          <x:t xml:space="preserve">source_linked</x:t>
        </x:is>
      </x:c>
      <x:c r="L16" s="15" t="inlineStr">
        <x:is>
          <x:t xml:space="preserve">1,1,1,1</x:t>
        </x:is>
      </x:c>
      <x:c r="M16" s="15" t="inlineStr">
        <x:is>
          <x:t xml:space="preserve"/>
        </x:is>
      </x:c>
      <x:c r="N16" s="15" t="n">
        <x:v>1</x:v>
      </x:c>
      <x:c r="O16" s="15" t="n">
        <x:v>1</x:v>
      </x:c>
      <x:c r="P16" s="15" t="inlineStr">
        <x:is>
          <x:t xml:space="preserve">[1]</x:t>
        </x:is>
      </x:c>
      <x:c r="Q16" s="15" t="inlineStr">
        <x:is>
          <x:t xml:space="preserve">|p1|</x:t>
        </x:is>
      </x:c>
      <x:c r="R16" s="15" t="inlineStr">
        <x:is>
          <x:t xml:space="preserve">seg.1.1.1.1</x:t>
        </x:is>
      </x:c>
      <x:c r="S16" s="15" t="inlineStr">
        <x:is>
          <x:t xml:space="preserve">de+ru+en</x:t>
        </x:is>
      </x:c>
      <x:c r="T16" s="15" t="inlineStr">
        <x:is>
          <x:t xml:space="preserve">local_chain</x:t>
        </x:is>
      </x:c>
      <x:c r="U16" s="15" t="inlineStr">
        <x:is>
          <x:t xml:space="preserve">десятилетнее уединение как состояние</x:t>
        </x:is>
      </x:c>
    </x:row>
    <x:row r="17" ht="30" customHeight="1">
      <x:c r="A17" s="15" t="inlineStr">
        <x:is>
          <x:t xml:space="preserve">m006</x:t>
        </x:is>
      </x:c>
      <x:c r="B17" s="15" t="inlineStr">
        <x:is>
          <x:t xml:space="preserve">source_edge</x:t>
        </x:is>
      </x:c>
      <x:c r="C17" s="15" t="inlineStr">
        <x:is>
          <x:t xml:space="preserve">st.p1.solitary_ripening_10y</x:t>
        </x:is>
      </x:c>
      <x:c r="D17" s="15" t="inlineStr">
        <x:is>
          <x:t xml:space="preserve">десятилетнее горное уединение</x:t>
        </x:is>
      </x:c>
      <x:c r="E17" s="15" t="inlineStr">
        <x:is>
          <x:t xml:space="preserve">state</x:t>
        </x:is>
      </x:c>
      <x:c r="F17" s="15" t="inlineStr">
        <x:is>
          <x:t xml:space="preserve">delights_in</x:t>
        </x:is>
      </x:c>
      <x:c r="G17" s="15" t="inlineStr">
        <x:is>
          <x:t xml:space="preserve">вкушает / наслаждается</x:t>
        </x:is>
      </x:c>
      <x:c r="H17" s="15" t="inlineStr">
        <x:is>
          <x:t xml:space="preserve">n.spirit</x:t>
        </x:is>
      </x:c>
      <x:c r="I17" s="15" t="inlineStr">
        <x:is>
          <x:t xml:space="preserve">дух</x:t>
        </x:is>
      </x:c>
      <x:c r="J17" s="15" t="inlineStr">
        <x:is>
          <x:t xml:space="preserve">inner_resource</x:t>
        </x:is>
      </x:c>
      <x:c r="K17" s="15" t="inlineStr">
        <x:is>
          <x:t xml:space="preserve">source_linked</x:t>
        </x:is>
      </x:c>
      <x:c r="L17" s="15" t="inlineStr">
        <x:is>
          <x:t xml:space="preserve">1,1,1,1</x:t>
        </x:is>
      </x:c>
      <x:c r="M17" s="15" t="inlineStr">
        <x:is>
          <x:t xml:space="preserve"/>
        </x:is>
      </x:c>
      <x:c r="N17" s="15" t="n">
        <x:v>1</x:v>
      </x:c>
      <x:c r="O17" s="15" t="n">
        <x:v>1</x:v>
      </x:c>
      <x:c r="P17" s="15" t="inlineStr">
        <x:is>
          <x:t xml:space="preserve">[1]</x:t>
        </x:is>
      </x:c>
      <x:c r="Q17" s="15" t="inlineStr">
        <x:is>
          <x:t xml:space="preserve">|p1|</x:t>
        </x:is>
      </x:c>
      <x:c r="R17" s="15" t="inlineStr">
        <x:is>
          <x:t xml:space="preserve">seg.1.1.1.1</x:t>
        </x:is>
      </x:c>
      <x:c r="S17" s="15" t="inlineStr">
        <x:is>
          <x:t xml:space="preserve">de+ru+en</x:t>
        </x:is>
      </x:c>
      <x:c r="T17" s="15" t="inlineStr">
        <x:is>
          <x:t xml:space="preserve">local_chain</x:t>
        </x:is>
      </x:c>
      <x:c r="U17" s="15" t="inlineStr">
        <x:is>
          <x:t xml:space="preserve"/>
        </x:is>
      </x:c>
    </x:row>
    <x:row r="18" ht="30" customHeight="1">
      <x:c r="A18" s="15" t="inlineStr">
        <x:is>
          <x:t xml:space="preserve">m007</x:t>
        </x:is>
      </x:c>
      <x:c r="B18" s="15" t="inlineStr">
        <x:is>
          <x:t xml:space="preserve">source_edge</x:t>
        </x:is>
      </x:c>
      <x:c r="C18" s="15" t="inlineStr">
        <x:is>
          <x:t xml:space="preserve">st.p1.solitary_ripening_10y</x:t>
        </x:is>
      </x:c>
      <x:c r="D18" s="15" t="inlineStr">
        <x:is>
          <x:t xml:space="preserve">десятилетнее горное уединение</x:t>
        </x:is>
      </x:c>
      <x:c r="E18" s="15" t="inlineStr">
        <x:is>
          <x:t xml:space="preserve">state</x:t>
        </x:is>
      </x:c>
      <x:c r="F18" s="15" t="inlineStr">
        <x:is>
          <x:t xml:space="preserve">delights_in</x:t>
        </x:is>
      </x:c>
      <x:c r="G18" s="15" t="inlineStr">
        <x:is>
          <x:t xml:space="preserve">вкушает / наслаждается</x:t>
        </x:is>
      </x:c>
      <x:c r="H18" s="15" t="inlineStr">
        <x:is>
          <x:t xml:space="preserve">n.solitude</x:t>
        </x:is>
      </x:c>
      <x:c r="I18" s="15" t="inlineStr">
        <x:is>
          <x:t xml:space="preserve">одиночество / уединение</x:t>
        </x:is>
      </x:c>
      <x:c r="J18" s="15" t="inlineStr">
        <x:is>
          <x:t xml:space="preserve">state-concept</x:t>
        </x:is>
      </x:c>
      <x:c r="K18" s="15" t="inlineStr">
        <x:is>
          <x:t xml:space="preserve">source_linked</x:t>
        </x:is>
      </x:c>
      <x:c r="L18" s="15" t="inlineStr">
        <x:is>
          <x:t xml:space="preserve">1,1,1,1</x:t>
        </x:is>
      </x:c>
      <x:c r="M18" s="15" t="inlineStr">
        <x:is>
          <x:t xml:space="preserve"/>
        </x:is>
      </x:c>
      <x:c r="N18" s="15" t="n">
        <x:v>1</x:v>
      </x:c>
      <x:c r="O18" s="15" t="n">
        <x:v>1</x:v>
      </x:c>
      <x:c r="P18" s="15" t="inlineStr">
        <x:is>
          <x:t xml:space="preserve">[1]</x:t>
        </x:is>
      </x:c>
      <x:c r="Q18" s="15" t="inlineStr">
        <x:is>
          <x:t xml:space="preserve">|p1|</x:t>
        </x:is>
      </x:c>
      <x:c r="R18" s="15" t="inlineStr">
        <x:is>
          <x:t xml:space="preserve">seg.1.1.1.1</x:t>
        </x:is>
      </x:c>
      <x:c r="S18" s="15" t="inlineStr">
        <x:is>
          <x:t xml:space="preserve">de+ru+en</x:t>
        </x:is>
      </x:c>
      <x:c r="T18" s="15" t="inlineStr">
        <x:is>
          <x:t xml:space="preserve">local_chain</x:t>
        </x:is>
      </x:c>
      <x:c r="U18" s="15" t="inlineStr">
        <x:is>
          <x:t xml:space="preserve"/>
        </x:is>
      </x:c>
    </x:row>
    <x:row r="19" ht="30" customHeight="1">
      <x:c r="A19" s="15" t="inlineStr">
        <x:is>
          <x:t xml:space="preserve">m008</x:t>
        </x:is>
      </x:c>
      <x:c r="B19" s="15" t="inlineStr">
        <x:is>
          <x:t xml:space="preserve">source_edge</x:t>
        </x:is>
      </x:c>
      <x:c r="C19" s="15" t="inlineStr">
        <x:is>
          <x:t xml:space="preserve">st.p1.solitary_ripening_10y</x:t>
        </x:is>
      </x:c>
      <x:c r="D19" s="15" t="inlineStr">
        <x:is>
          <x:t xml:space="preserve">десятилетнее горное уединение</x:t>
        </x:is>
      </x:c>
      <x:c r="E19" s="15" t="inlineStr">
        <x:is>
          <x:t xml:space="preserve">state</x:t>
        </x:is>
      </x:c>
      <x:c r="F19" s="15" t="inlineStr">
        <x:is>
          <x:t xml:space="preserve">duration</x:t>
        </x:is>
      </x:c>
      <x:c r="G19" s="15" t="inlineStr">
        <x:is>
          <x:t xml:space="preserve">имеет длительность</x:t>
        </x:is>
      </x:c>
      <x:c r="H19" s="15" t="inlineStr">
        <x:is>
          <x:t xml:space="preserve">literal.ten_years</x:t>
        </x:is>
      </x:c>
      <x:c r="I19" s="15" t="inlineStr">
        <x:is>
          <x:t xml:space="preserve">десять лет</x:t>
        </x:is>
      </x:c>
      <x:c r="J19" s="15" t="inlineStr">
        <x:is>
          <x:t xml:space="preserve">literal</x:t>
        </x:is>
      </x:c>
      <x:c r="K19" s="15" t="inlineStr">
        <x:is>
          <x:t xml:space="preserve">source_linked</x:t>
        </x:is>
      </x:c>
      <x:c r="L19" s="15" t="inlineStr">
        <x:is>
          <x:t xml:space="preserve">1,1,1,1</x:t>
        </x:is>
      </x:c>
      <x:c r="M19" s="15" t="inlineStr">
        <x:is>
          <x:t xml:space="preserve"/>
        </x:is>
      </x:c>
      <x:c r="N19" s="15" t="n">
        <x:v>1</x:v>
      </x:c>
      <x:c r="O19" s="15" t="n">
        <x:v>1</x:v>
      </x:c>
      <x:c r="P19" s="15" t="inlineStr">
        <x:is>
          <x:t xml:space="preserve">[1]</x:t>
        </x:is>
      </x:c>
      <x:c r="Q19" s="15" t="inlineStr">
        <x:is>
          <x:t xml:space="preserve">|p1|</x:t>
        </x:is>
      </x:c>
      <x:c r="R19" s="15" t="inlineStr">
        <x:is>
          <x:t xml:space="preserve">seg.1.1.1.1</x:t>
        </x:is>
      </x:c>
      <x:c r="S19" s="15" t="inlineStr">
        <x:is>
          <x:t xml:space="preserve">de+ru+en</x:t>
        </x:is>
      </x:c>
      <x:c r="T19" s="15" t="inlineStr">
        <x:is>
          <x:t xml:space="preserve">local_chain</x:t>
        </x:is>
      </x:c>
      <x:c r="U19" s="15" t="inlineStr">
        <x:is>
          <x:t xml:space="preserve"/>
        </x:is>
      </x:c>
    </x:row>
    <x:row r="20" ht="30" customHeight="1">
      <x:c r="A20" s="16" t="inlineStr">
        <x:is>
          <x:t xml:space="preserve">m009</x:t>
        </x:is>
      </x:c>
      <x:c r="B20" s="16" t="inlineStr">
        <x:is>
          <x:t xml:space="preserve">bridge_edge</x:t>
        </x:is>
      </x:c>
      <x:c r="C20" s="16" t="inlineStr">
        <x:is>
          <x:t xml:space="preserve">st.p1.solitary_ripening_10y</x:t>
        </x:is>
      </x:c>
      <x:c r="D20" s="16" t="inlineStr">
        <x:is>
          <x:t xml:space="preserve">десятилетнее горное уединение</x:t>
        </x:is>
      </x:c>
      <x:c r="E20" s="16" t="inlineStr">
        <x:is>
          <x:t xml:space="preserve">state</x:t>
        </x:is>
      </x:c>
      <x:c r="F20" s="16" t="inlineStr">
        <x:is>
          <x:t xml:space="preserve">leads_to</x:t>
        </x:is>
      </x:c>
      <x:c r="G20" s="16" t="inlineStr">
        <x:is>
          <x:t xml:space="preserve">ведёт к</x:t>
        </x:is>
      </x:c>
      <x:c r="H20" s="16" t="inlineStr">
        <x:is>
          <x:t xml:space="preserve">ev.p1.heart_transformation</x:t>
        </x:is>
      </x:c>
      <x:c r="I20" s="16" t="inlineStr">
        <x:is>
          <x:t xml:space="preserve">преображение сердца</x:t>
        </x:is>
      </x:c>
      <x:c r="J20" s="16" t="inlineStr">
        <x:is>
          <x:t xml:space="preserve">event</x:t>
        </x:is>
      </x:c>
      <x:c r="K20" s="16" t="inlineStr">
        <x:is>
          <x:t xml:space="preserve">source_linked</x:t>
        </x:is>
      </x:c>
      <x:c r="L20" s="16" t="inlineStr">
        <x:is>
          <x:t xml:space="preserve">1,1,1,1</x:t>
        </x:is>
      </x:c>
      <x:c r="M20" s="16" t="inlineStr">
        <x:is>
          <x:t xml:space="preserve"/>
        </x:is>
      </x:c>
      <x:c r="N20" s="16" t="n">
        <x:v>1</x:v>
      </x:c>
      <x:c r="O20" s="16" t="n">
        <x:v>1</x:v>
      </x:c>
      <x:c r="P20" s="16" t="inlineStr">
        <x:is>
          <x:t xml:space="preserve">[1]</x:t>
        </x:is>
      </x:c>
      <x:c r="Q20" s="16" t="inlineStr">
        <x:is>
          <x:t xml:space="preserve">|p1|</x:t>
        </x:is>
      </x:c>
      <x:c r="R20" s="16" t="inlineStr">
        <x:is>
          <x:t xml:space="preserve">seg.1.1.1.1</x:t>
        </x:is>
      </x:c>
      <x:c r="S20" s="16" t="inlineStr">
        <x:is>
          <x:t xml:space="preserve">de+ru+en</x:t>
        </x:is>
      </x:c>
      <x:c r="T20" s="16" t="inlineStr">
        <x:is>
          <x:t xml:space="preserve">reasoning_bridge</x:t>
        </x:is>
      </x:c>
      <x:c r="U20" s="16" t="inlineStr">
        <x:is>
          <x:t xml:space="preserve">созревание ведет к внутреннему повороту</x:t>
        </x:is>
      </x:c>
    </x:row>
    <x:row r="21" ht="30" customHeight="1">
      <x:c r="A21" s="15" t="inlineStr">
        <x:is>
          <x:t xml:space="preserve">m010</x:t>
        </x:is>
      </x:c>
      <x:c r="B21" s="15" t="inlineStr">
        <x:is>
          <x:t xml:space="preserve">source_edge</x:t>
        </x:is>
      </x:c>
      <x:c r="C21" s="15" t="inlineStr">
        <x:is>
          <x:t xml:space="preserve">ev.p1.heart_transformation</x:t>
        </x:is>
      </x:c>
      <x:c r="D21" s="15" t="inlineStr">
        <x:is>
          <x:t xml:space="preserve">преображение сердца</x:t>
        </x:is>
      </x:c>
      <x:c r="E21" s="15" t="inlineStr">
        <x:is>
          <x:t xml:space="preserve">event</x:t>
        </x:is>
      </x:c>
      <x:c r="F21" s="15" t="inlineStr">
        <x:is>
          <x:t xml:space="preserve">affects</x:t>
        </x:is>
      </x:c>
      <x:c r="G21" s="15" t="inlineStr">
        <x:is>
          <x:t xml:space="preserve">затрагивает</x:t>
        </x:is>
      </x:c>
      <x:c r="H21" s="15" t="inlineStr">
        <x:is>
          <x:t xml:space="preserve">n.heart</x:t>
        </x:is>
      </x:c>
      <x:c r="I21" s="15" t="inlineStr">
        <x:is>
          <x:t xml:space="preserve">сердце</x:t>
        </x:is>
      </x:c>
      <x:c r="J21" s="15" t="inlineStr">
        <x:is>
          <x:t xml:space="preserve">inner_center</x:t>
        </x:is>
      </x:c>
      <x:c r="K21" s="15" t="inlineStr">
        <x:is>
          <x:t xml:space="preserve">source_linked</x:t>
        </x:is>
      </x:c>
      <x:c r="L21" s="15" t="inlineStr">
        <x:is>
          <x:t xml:space="preserve">1,1,1,1</x:t>
        </x:is>
      </x:c>
      <x:c r="M21" s="15" t="inlineStr">
        <x:is>
          <x:t xml:space="preserve"/>
        </x:is>
      </x:c>
      <x:c r="N21" s="15" t="n">
        <x:v>1</x:v>
      </x:c>
      <x:c r="O21" s="15" t="n">
        <x:v>1</x:v>
      </x:c>
      <x:c r="P21" s="15" t="inlineStr">
        <x:is>
          <x:t xml:space="preserve">[1]</x:t>
        </x:is>
      </x:c>
      <x:c r="Q21" s="15" t="inlineStr">
        <x:is>
          <x:t xml:space="preserve">|p1|</x:t>
        </x:is>
      </x:c>
      <x:c r="R21" s="15" t="inlineStr">
        <x:is>
          <x:t xml:space="preserve">seg.1.1.1.1</x:t>
        </x:is>
      </x:c>
      <x:c r="S21" s="15" t="inlineStr">
        <x:is>
          <x:t xml:space="preserve">de+ru+en</x:t>
        </x:is>
      </x:c>
      <x:c r="T21" s="15" t="inlineStr">
        <x:is>
          <x:t xml:space="preserve">local_chain</x:t>
        </x:is>
      </x:c>
      <x:c r="U21" s="15" t="inlineStr">
        <x:is>
          <x:t xml:space="preserve"/>
        </x:is>
      </x:c>
    </x:row>
    <x:row r="22" ht="30" customHeight="1">
      <x:c r="A22" s="16" t="inlineStr">
        <x:is>
          <x:t xml:space="preserve">m011</x:t>
        </x:is>
      </x:c>
      <x:c r="B22" s="16" t="inlineStr">
        <x:is>
          <x:t xml:space="preserve">bridge_edge</x:t>
        </x:is>
      </x:c>
      <x:c r="C22" s="16" t="inlineStr">
        <x:is>
          <x:t xml:space="preserve">ev.p1.heart_transformation</x:t>
        </x:is>
      </x:c>
      <x:c r="D22" s="16" t="inlineStr">
        <x:is>
          <x:t xml:space="preserve">преображение сердца</x:t>
        </x:is>
      </x:c>
      <x:c r="E22" s="16" t="inlineStr">
        <x:is>
          <x:t xml:space="preserve">event</x:t>
        </x:is>
      </x:c>
      <x:c r="F22" s="16" t="inlineStr">
        <x:is>
          <x:t xml:space="preserve">prepares</x:t>
        </x:is>
      </x:c>
      <x:c r="G22" s="16" t="inlineStr">
        <x:is>
          <x:t xml:space="preserve">подготавливает</x:t>
        </x:is>
      </x:c>
      <x:c r="H22" s="16" t="inlineStr">
        <x:is>
          <x:t xml:space="preserve">ev.p1.dawn_address_to_sun</x:t>
        </x:is>
      </x:c>
      <x:c r="I22" s="16" t="inlineStr">
        <x:is>
          <x:t xml:space="preserve">утреннее обращение к солнцу</x:t>
        </x:is>
      </x:c>
      <x:c r="J22" s="16" t="inlineStr">
        <x:is>
          <x:t xml:space="preserve">event</x:t>
        </x:is>
      </x:c>
      <x:c r="K22" s="16" t="inlineStr">
        <x:is>
          <x:t xml:space="preserve">source_linked</x:t>
        </x:is>
      </x:c>
      <x:c r="L22" s="16" t="inlineStr">
        <x:is>
          <x:t xml:space="preserve">1,1,1,1</x:t>
        </x:is>
      </x:c>
      <x:c r="M22" s="16" t="inlineStr">
        <x:is>
          <x:t xml:space="preserve"/>
        </x:is>
      </x:c>
      <x:c r="N22" s="16" t="n">
        <x:v>1</x:v>
      </x:c>
      <x:c r="O22" s="16" t="n">
        <x:v>1</x:v>
      </x:c>
      <x:c r="P22" s="16" t="inlineStr">
        <x:is>
          <x:t xml:space="preserve">[1]</x:t>
        </x:is>
      </x:c>
      <x:c r="Q22" s="16" t="inlineStr">
        <x:is>
          <x:t xml:space="preserve">|p1|</x:t>
        </x:is>
      </x:c>
      <x:c r="R22" s="16" t="inlineStr">
        <x:is>
          <x:t xml:space="preserve">seg.1.1.1.1</x:t>
        </x:is>
      </x:c>
      <x:c r="S22" s="16" t="inlineStr">
        <x:is>
          <x:t xml:space="preserve">de+ru+en</x:t>
        </x:is>
      </x:c>
      <x:c r="T22" s="16" t="inlineStr">
        <x:is>
          <x:t xml:space="preserve">reasoning_bridge</x:t>
        </x:is>
      </x:c>
      <x:c r="U22" s="16" t="inlineStr">
        <x:is>
          <x:t xml:space="preserve"/>
        </x:is>
      </x:c>
    </x:row>
    <x:row r="23" ht="30" customHeight="1">
      <x:c r="A23" s="15" t="inlineStr">
        <x:is>
          <x:t xml:space="preserve">m012</x:t>
        </x:is>
      </x:c>
      <x:c r="B23" s="15" t="inlineStr">
        <x:is>
          <x:t xml:space="preserve">source_edge</x:t>
        </x:is>
      </x:c>
      <x:c r="C23" s="15" t="inlineStr">
        <x:is>
          <x:t xml:space="preserve">n.zarathustra</x:t>
        </x:is>
      </x:c>
      <x:c r="D23" s="15" t="inlineStr">
        <x:is>
          <x:t xml:space="preserve">Заратустра</x:t>
        </x:is>
      </x:c>
      <x:c r="E23" s="15" t="inlineStr">
        <x:is>
          <x:t xml:space="preserve">persona</x:t>
        </x:is>
      </x:c>
      <x:c r="F23" s="15" t="inlineStr">
        <x:is>
          <x:t xml:space="preserve">performs</x:t>
        </x:is>
      </x:c>
      <x:c r="G23" s="15" t="inlineStr">
        <x:is>
          <x:t xml:space="preserve">совершает</x:t>
        </x:is>
      </x:c>
      <x:c r="H23" s="15" t="inlineStr">
        <x:is>
          <x:t xml:space="preserve">ev.p1.dawn_address_to_sun</x:t>
        </x:is>
      </x:c>
      <x:c r="I23" s="15" t="inlineStr">
        <x:is>
          <x:t xml:space="preserve">утреннее обращение к солнцу</x:t>
        </x:is>
      </x:c>
      <x:c r="J23" s="15" t="inlineStr">
        <x:is>
          <x:t xml:space="preserve">event</x:t>
        </x:is>
      </x:c>
      <x:c r="K23" s="15" t="inlineStr">
        <x:is>
          <x:t xml:space="preserve">source_linked</x:t>
        </x:is>
      </x:c>
      <x:c r="L23" s="15" t="inlineStr">
        <x:is>
          <x:t xml:space="preserve">1,1,1,1</x:t>
        </x:is>
      </x:c>
      <x:c r="M23" s="15" t="inlineStr">
        <x:is>
          <x:t xml:space="preserve"/>
        </x:is>
      </x:c>
      <x:c r="N23" s="15" t="n">
        <x:v>1</x:v>
      </x:c>
      <x:c r="O23" s="15" t="n">
        <x:v>1</x:v>
      </x:c>
      <x:c r="P23" s="15" t="inlineStr">
        <x:is>
          <x:t xml:space="preserve">[1]</x:t>
        </x:is>
      </x:c>
      <x:c r="Q23" s="15" t="inlineStr">
        <x:is>
          <x:t xml:space="preserve">|p1|</x:t>
        </x:is>
      </x:c>
      <x:c r="R23" s="15" t="inlineStr">
        <x:is>
          <x:t xml:space="preserve">seg.1.1.1.1</x:t>
        </x:is>
      </x:c>
      <x:c r="S23" s="15" t="inlineStr">
        <x:is>
          <x:t xml:space="preserve">de+ru+en</x:t>
        </x:is>
      </x:c>
      <x:c r="T23" s="15" t="inlineStr">
        <x:is>
          <x:t xml:space="preserve">local_chain</x:t>
        </x:is>
      </x:c>
      <x:c r="U23" s="15" t="inlineStr">
        <x:is>
          <x:t xml:space="preserve"/>
        </x:is>
      </x:c>
    </x:row>
    <x:row r="24" ht="30" customHeight="1">
      <x:c r="A24" s="15" t="inlineStr">
        <x:is>
          <x:t xml:space="preserve">m013</x:t>
        </x:is>
      </x:c>
      <x:c r="B24" s="15" t="inlineStr">
        <x:is>
          <x:t xml:space="preserve">source_edge</x:t>
        </x:is>
      </x:c>
      <x:c r="C24" s="15" t="inlineStr">
        <x:is>
          <x:t xml:space="preserve">ev.p1.dawn_address_to_sun</x:t>
        </x:is>
      </x:c>
      <x:c r="D24" s="15" t="inlineStr">
        <x:is>
          <x:t xml:space="preserve">утреннее обращение к солнцу</x:t>
        </x:is>
      </x:c>
      <x:c r="E24" s="15" t="inlineStr">
        <x:is>
          <x:t xml:space="preserve">event</x:t>
        </x:is>
      </x:c>
      <x:c r="F24" s="15" t="inlineStr">
        <x:is>
          <x:t xml:space="preserve">occurs_with</x:t>
        </x:is>
      </x:c>
      <x:c r="G24" s="15" t="inlineStr">
        <x:is>
          <x:t xml:space="preserve">происходит вместе с</x:t>
        </x:is>
      </x:c>
      <x:c r="H24" s="15" t="inlineStr">
        <x:is>
          <x:t xml:space="preserve">n.dawn</x:t>
        </x:is>
      </x:c>
      <x:c r="I24" s="15" t="inlineStr">
        <x:is>
          <x:t xml:space="preserve">заря</x:t>
        </x:is>
      </x:c>
      <x:c r="J24" s="15" t="inlineStr">
        <x:is>
          <x:t xml:space="preserve">time-symbol</x:t>
        </x:is>
      </x:c>
      <x:c r="K24" s="15" t="inlineStr">
        <x:is>
          <x:t xml:space="preserve">source_linked</x:t>
        </x:is>
      </x:c>
      <x:c r="L24" s="15" t="inlineStr">
        <x:is>
          <x:t xml:space="preserve">1,1,1,1</x:t>
        </x:is>
      </x:c>
      <x:c r="M24" s="15" t="inlineStr">
        <x:is>
          <x:t xml:space="preserve"/>
        </x:is>
      </x:c>
      <x:c r="N24" s="15" t="n">
        <x:v>1</x:v>
      </x:c>
      <x:c r="O24" s="15" t="n">
        <x:v>1</x:v>
      </x:c>
      <x:c r="P24" s="15" t="inlineStr">
        <x:is>
          <x:t xml:space="preserve">[1]</x:t>
        </x:is>
      </x:c>
      <x:c r="Q24" s="15" t="inlineStr">
        <x:is>
          <x:t xml:space="preserve">|p1|</x:t>
        </x:is>
      </x:c>
      <x:c r="R24" s="15" t="inlineStr">
        <x:is>
          <x:t xml:space="preserve">seg.1.1.1.1</x:t>
        </x:is>
      </x:c>
      <x:c r="S24" s="15" t="inlineStr">
        <x:is>
          <x:t xml:space="preserve">de+ru+en</x:t>
        </x:is>
      </x:c>
      <x:c r="T24" s="15" t="inlineStr">
        <x:is>
          <x:t xml:space="preserve">local_chain</x:t>
        </x:is>
      </x:c>
      <x:c r="U24" s="15" t="inlineStr">
        <x:is>
          <x:t xml:space="preserve"/>
        </x:is>
      </x:c>
    </x:row>
    <x:row r="25" ht="30" customHeight="1">
      <x:c r="A25" s="15" t="inlineStr">
        <x:is>
          <x:t xml:space="preserve">m014</x:t>
        </x:is>
      </x:c>
      <x:c r="B25" s="15" t="inlineStr">
        <x:is>
          <x:t xml:space="preserve">source_edge</x:t>
        </x:is>
      </x:c>
      <x:c r="C25" s="15" t="inlineStr">
        <x:is>
          <x:t xml:space="preserve">ev.p1.dawn_address_to_sun</x:t>
        </x:is>
      </x:c>
      <x:c r="D25" s="15" t="inlineStr">
        <x:is>
          <x:t xml:space="preserve">утреннее обращение к солнцу</x:t>
        </x:is>
      </x:c>
      <x:c r="E25" s="15" t="inlineStr">
        <x:is>
          <x:t xml:space="preserve">event</x:t>
        </x:is>
      </x:c>
      <x:c r="F25" s="15" t="inlineStr">
        <x:is>
          <x:t xml:space="preserve">addresses</x:t>
        </x:is>
      </x:c>
      <x:c r="G25" s="15" t="inlineStr">
        <x:is>
          <x:t xml:space="preserve">обращается к</x:t>
        </x:is>
      </x:c>
      <x:c r="H25" s="15" t="inlineStr">
        <x:is>
          <x:t xml:space="preserve">n.sun</x:t>
        </x:is>
      </x:c>
      <x:c r="I25" s="15" t="inlineStr">
        <x:is>
          <x:t xml:space="preserve">солнце / великое светило</x:t>
        </x:is>
      </x:c>
      <x:c r="J25" s="15" t="inlineStr">
        <x:is>
          <x:t xml:space="preserve">cosmic_entity</x:t>
        </x:is>
      </x:c>
      <x:c r="K25" s="15" t="inlineStr">
        <x:is>
          <x:t xml:space="preserve">source_linked</x:t>
        </x:is>
      </x:c>
      <x:c r="L25" s="15" t="inlineStr">
        <x:is>
          <x:t xml:space="preserve">1,1,1,1</x:t>
        </x:is>
      </x:c>
      <x:c r="M25" s="15" t="inlineStr">
        <x:is>
          <x:t xml:space="preserve"/>
        </x:is>
      </x:c>
      <x:c r="N25" s="15" t="n">
        <x:v>1</x:v>
      </x:c>
      <x:c r="O25" s="15" t="n">
        <x:v>1</x:v>
      </x:c>
      <x:c r="P25" s="15" t="inlineStr">
        <x:is>
          <x:t xml:space="preserve">[1]</x:t>
        </x:is>
      </x:c>
      <x:c r="Q25" s="15" t="inlineStr">
        <x:is>
          <x:t xml:space="preserve">|p1|</x:t>
        </x:is>
      </x:c>
      <x:c r="R25" s="15" t="inlineStr">
        <x:is>
          <x:t xml:space="preserve">seg.1.1.1.1</x:t>
        </x:is>
      </x:c>
      <x:c r="S25" s="15" t="inlineStr">
        <x:is>
          <x:t xml:space="preserve">de+ru+en</x:t>
        </x:is>
      </x:c>
      <x:c r="T25" s="15" t="inlineStr">
        <x:is>
          <x:t xml:space="preserve">local_chain</x:t>
        </x:is>
      </x:c>
      <x:c r="U25" s="15" t="inlineStr">
        <x:is>
          <x:t xml:space="preserve"/>
        </x:is>
      </x:c>
    </x:row>
    <x:row r="26" ht="30" customHeight="1">
      <x:c r="A26" s="15" t="inlineStr">
        <x:is>
          <x:t xml:space="preserve">m015</x:t>
        </x:is>
      </x:c>
      <x:c r="B26" s="15" t="inlineStr">
        <x:is>
          <x:t xml:space="preserve">source_edge</x:t>
        </x:is>
      </x:c>
      <x:c r="C26" s="15" t="inlineStr">
        <x:is>
          <x:t xml:space="preserve">n.sun</x:t>
        </x:is>
      </x:c>
      <x:c r="D26" s="15" t="inlineStr">
        <x:is>
          <x:t xml:space="preserve">солнце / великое светило</x:t>
        </x:is>
      </x:c>
      <x:c r="E26" s="15" t="inlineStr">
        <x:is>
          <x:t xml:space="preserve">cosmic_entity</x:t>
        </x:is>
      </x:c>
      <x:c r="F26" s="15" t="inlineStr">
        <x:is>
          <x:t xml:space="preserve">participates_in</x:t>
        </x:is>
      </x:c>
      <x:c r="G26" s="15" t="inlineStr">
        <x:is>
          <x:t xml:space="preserve">участвует в</x:t>
        </x:is>
      </x:c>
      <x:c r="H26" s="15" t="inlineStr">
        <x:is>
          <x:t xml:space="preserve">st.p2.solar_happiness_requires_recipients</x:t>
        </x:is>
      </x:c>
      <x:c r="I26" s="15" t="inlineStr">
        <x:is>
          <x:t xml:space="preserve">счастье светила требует адресатов света</x:t>
        </x:is>
      </x:c>
      <x:c r="J26" s="15" t="inlineStr">
        <x:is>
          <x:t xml:space="preserve">state</x:t>
        </x:is>
      </x:c>
      <x:c r="K26" s="15" t="inlineStr">
        <x:is>
          <x:t xml:space="preserve">source_linked</x:t>
        </x:is>
      </x:c>
      <x:c r="L26" s="15" t="inlineStr">
        <x:is>
          <x:t xml:space="preserve">1,1,1,2</x:t>
        </x:is>
      </x:c>
      <x:c r="M26" s="15" t="inlineStr">
        <x:is>
          <x:t xml:space="preserve"/>
        </x:is>
      </x:c>
      <x:c r="N26" s="15" t="n">
        <x:v>2</x:v>
      </x:c>
      <x:c r="O26" s="15" t="n">
        <x:v>2</x:v>
      </x:c>
      <x:c r="P26" s="15" t="inlineStr">
        <x:is>
          <x:t xml:space="preserve">[2]</x:t>
        </x:is>
      </x:c>
      <x:c r="Q26" s="15" t="inlineStr">
        <x:is>
          <x:t xml:space="preserve">|p2|</x:t>
        </x:is>
      </x:c>
      <x:c r="R26" s="15" t="inlineStr">
        <x:is>
          <x:t xml:space="preserve">seg.1.1.1.2</x:t>
        </x:is>
      </x:c>
      <x:c r="S26" s="15" t="inlineStr">
        <x:is>
          <x:t xml:space="preserve">de+ru+en</x:t>
        </x:is>
      </x:c>
      <x:c r="T26" s="15" t="inlineStr">
        <x:is>
          <x:t xml:space="preserve">local_chain</x:t>
        </x:is>
      </x:c>
      <x:c r="U26" s="15" t="inlineStr">
        <x:is>
          <x:t xml:space="preserve">солнечное счастье задано как отношение</x:t>
        </x:is>
      </x:c>
    </x:row>
    <x:row r="27" ht="30" customHeight="1">
      <x:c r="A27" s="15" t="inlineStr">
        <x:is>
          <x:t xml:space="preserve">m016</x:t>
        </x:is>
      </x:c>
      <x:c r="B27" s="15" t="inlineStr">
        <x:is>
          <x:t xml:space="preserve">source_edge</x:t>
        </x:is>
      </x:c>
      <x:c r="C27" s="15" t="inlineStr">
        <x:is>
          <x:t xml:space="preserve">st.p2.solar_happiness_requires_recipients</x:t>
        </x:is>
      </x:c>
      <x:c r="D27" s="15" t="inlineStr">
        <x:is>
          <x:t xml:space="preserve">счастье светила требует адресатов света</x:t>
        </x:is>
      </x:c>
      <x:c r="E27" s="15" t="inlineStr">
        <x:is>
          <x:t xml:space="preserve">state</x:t>
        </x:is>
      </x:c>
      <x:c r="F27" s="15" t="inlineStr">
        <x:is>
          <x:t xml:space="preserve">concerns</x:t>
        </x:is>
      </x:c>
      <x:c r="G27" s="15" t="inlineStr">
        <x:is>
          <x:t xml:space="preserve">касается</x:t>
        </x:is>
      </x:c>
      <x:c r="H27" s="15" t="inlineStr">
        <x:is>
          <x:t xml:space="preserve">n.happiness</x:t>
        </x:is>
      </x:c>
      <x:c r="I27" s="15" t="inlineStr">
        <x:is>
          <x:t xml:space="preserve">счастье</x:t>
        </x:is>
      </x:c>
      <x:c r="J27" s="15" t="inlineStr">
        <x:is>
          <x:t xml:space="preserve">quality</x:t>
        </x:is>
      </x:c>
      <x:c r="K27" s="15" t="inlineStr">
        <x:is>
          <x:t xml:space="preserve">source_linked</x:t>
        </x:is>
      </x:c>
      <x:c r="L27" s="15" t="inlineStr">
        <x:is>
          <x:t xml:space="preserve">1,1,1,2</x:t>
        </x:is>
      </x:c>
      <x:c r="M27" s="15" t="inlineStr">
        <x:is>
          <x:t xml:space="preserve"/>
        </x:is>
      </x:c>
      <x:c r="N27" s="15" t="n">
        <x:v>2</x:v>
      </x:c>
      <x:c r="O27" s="15" t="n">
        <x:v>2</x:v>
      </x:c>
      <x:c r="P27" s="15" t="inlineStr">
        <x:is>
          <x:t xml:space="preserve">[2]</x:t>
        </x:is>
      </x:c>
      <x:c r="Q27" s="15" t="inlineStr">
        <x:is>
          <x:t xml:space="preserve">|p2|</x:t>
        </x:is>
      </x:c>
      <x:c r="R27" s="15" t="inlineStr">
        <x:is>
          <x:t xml:space="preserve">seg.1.1.1.2</x:t>
        </x:is>
      </x:c>
      <x:c r="S27" s="15" t="inlineStr">
        <x:is>
          <x:t xml:space="preserve">de+ru+en</x:t>
        </x:is>
      </x:c>
      <x:c r="T27" s="15" t="inlineStr">
        <x:is>
          <x:t xml:space="preserve">local_chain</x:t>
        </x:is>
      </x:c>
      <x:c r="U27" s="15" t="inlineStr">
        <x:is>
          <x:t xml:space="preserve"/>
        </x:is>
      </x:c>
    </x:row>
    <x:row r="28" ht="30" customHeight="1">
      <x:c r="A28" s="15" t="inlineStr">
        <x:is>
          <x:t xml:space="preserve">m017</x:t>
        </x:is>
      </x:c>
      <x:c r="B28" s="15" t="inlineStr">
        <x:is>
          <x:t xml:space="preserve">source_edge</x:t>
        </x:is>
      </x:c>
      <x:c r="C28" s="15" t="inlineStr">
        <x:is>
          <x:t xml:space="preserve">n.happiness</x:t>
        </x:is>
      </x:c>
      <x:c r="D28" s="15" t="inlineStr">
        <x:is>
          <x:t xml:space="preserve">счастье</x:t>
        </x:is>
      </x:c>
      <x:c r="E28" s="15" t="inlineStr">
        <x:is>
          <x:t xml:space="preserve">quality</x:t>
        </x:is>
      </x:c>
      <x:c r="F28" s="15" t="inlineStr">
        <x:is>
          <x:t xml:space="preserve">depends_on</x:t>
        </x:is>
      </x:c>
      <x:c r="G28" s="15" t="inlineStr">
        <x:is>
          <x:t xml:space="preserve">зависит от</x:t>
        </x:is>
      </x:c>
      <x:c r="H28" s="15" t="inlineStr">
        <x:is>
          <x:t xml:space="preserve">n.recipients_of_light</x:t>
        </x:is>
      </x:c>
      <x:c r="I28" s="15" t="inlineStr">
        <x:is>
          <x:t xml:space="preserve">те, кому светят</x:t>
        </x:is>
      </x:c>
      <x:c r="J28" s="15" t="inlineStr">
        <x:is>
          <x:t xml:space="preserve">relational_group</x:t>
        </x:is>
      </x:c>
      <x:c r="K28" s="15" t="inlineStr">
        <x:is>
          <x:t xml:space="preserve">source_linked</x:t>
        </x:is>
      </x:c>
      <x:c r="L28" s="15" t="inlineStr">
        <x:is>
          <x:t xml:space="preserve">1,1,1,2</x:t>
        </x:is>
      </x:c>
      <x:c r="M28" s="15" t="inlineStr">
        <x:is>
          <x:t xml:space="preserve"/>
        </x:is>
      </x:c>
      <x:c r="N28" s="15" t="n">
        <x:v>2</x:v>
      </x:c>
      <x:c r="O28" s="15" t="n">
        <x:v>2</x:v>
      </x:c>
      <x:c r="P28" s="15" t="inlineStr">
        <x:is>
          <x:t xml:space="preserve">[2]</x:t>
        </x:is>
      </x:c>
      <x:c r="Q28" s="15" t="inlineStr">
        <x:is>
          <x:t xml:space="preserve">|p2|</x:t>
        </x:is>
      </x:c>
      <x:c r="R28" s="15" t="inlineStr">
        <x:is>
          <x:t xml:space="preserve">seg.1.1.1.2</x:t>
        </x:is>
      </x:c>
      <x:c r="S28" s="15" t="inlineStr">
        <x:is>
          <x:t xml:space="preserve">de+ru+en</x:t>
        </x:is>
      </x:c>
      <x:c r="T28" s="15" t="inlineStr">
        <x:is>
          <x:t xml:space="preserve">local_chain</x:t>
        </x:is>
      </x:c>
      <x:c r="U28" s="15" t="inlineStr">
        <x:is>
          <x:t xml:space="preserve"/>
        </x:is>
      </x:c>
    </x:row>
    <x:row r="29" ht="30" customHeight="1">
      <x:c r="A29" s="15" t="inlineStr">
        <x:is>
          <x:t xml:space="preserve">m018</x:t>
        </x:is>
      </x:c>
      <x:c r="B29" s="15" t="inlineStr">
        <x:is>
          <x:t xml:space="preserve">source_edge</x:t>
        </x:is>
      </x:c>
      <x:c r="C29" s="15" t="inlineStr">
        <x:is>
          <x:t xml:space="preserve">st.p2.solar_happiness_requires_recipients</x:t>
        </x:is>
      </x:c>
      <x:c r="D29" s="15" t="inlineStr">
        <x:is>
          <x:t xml:space="preserve">счастье светила требует адресатов света</x:t>
        </x:is>
      </x:c>
      <x:c r="E29" s="15" t="inlineStr">
        <x:is>
          <x:t xml:space="preserve">state</x:t>
        </x:is>
      </x:c>
      <x:c r="F29" s="15" t="inlineStr">
        <x:is>
          <x:t xml:space="preserve">targets</x:t>
        </x:is>
      </x:c>
      <x:c r="G29" s="15" t="inlineStr">
        <x:is>
          <x:t xml:space="preserve">направлено к</x:t>
        </x:is>
      </x:c>
      <x:c r="H29" s="15" t="inlineStr">
        <x:is>
          <x:t xml:space="preserve">n.recipients_of_light</x:t>
        </x:is>
      </x:c>
      <x:c r="I29" s="15" t="inlineStr">
        <x:is>
          <x:t xml:space="preserve">те, кому светят</x:t>
        </x:is>
      </x:c>
      <x:c r="J29" s="15" t="inlineStr">
        <x:is>
          <x:t xml:space="preserve">relational_group</x:t>
        </x:is>
      </x:c>
      <x:c r="K29" s="15" t="inlineStr">
        <x:is>
          <x:t xml:space="preserve">source_linked</x:t>
        </x:is>
      </x:c>
      <x:c r="L29" s="15" t="inlineStr">
        <x:is>
          <x:t xml:space="preserve">1,1,1,2</x:t>
        </x:is>
      </x:c>
      <x:c r="M29" s="15" t="inlineStr">
        <x:is>
          <x:t xml:space="preserve"/>
        </x:is>
      </x:c>
      <x:c r="N29" s="15" t="n">
        <x:v>2</x:v>
      </x:c>
      <x:c r="O29" s="15" t="n">
        <x:v>2</x:v>
      </x:c>
      <x:c r="P29" s="15" t="inlineStr">
        <x:is>
          <x:t xml:space="preserve">[2]</x:t>
        </x:is>
      </x:c>
      <x:c r="Q29" s="15" t="inlineStr">
        <x:is>
          <x:t xml:space="preserve">|p2|</x:t>
        </x:is>
      </x:c>
      <x:c r="R29" s="15" t="inlineStr">
        <x:is>
          <x:t xml:space="preserve">seg.1.1.1.2</x:t>
        </x:is>
      </x:c>
      <x:c r="S29" s="15" t="inlineStr">
        <x:is>
          <x:t xml:space="preserve">de+ru+en</x:t>
        </x:is>
      </x:c>
      <x:c r="T29" s="15" t="inlineStr">
        <x:is>
          <x:t xml:space="preserve">local_chain</x:t>
        </x:is>
      </x:c>
      <x:c r="U29" s="15" t="inlineStr">
        <x:is>
          <x:t xml:space="preserve">адресаты света держат смысл счастья</x:t>
        </x:is>
      </x:c>
    </x:row>
    <x:row r="30" ht="30" customHeight="1">
      <x:c r="A30" s="15" t="inlineStr">
        <x:is>
          <x:t xml:space="preserve">m019</x:t>
        </x:is>
      </x:c>
      <x:c r="B30" s="15" t="inlineStr">
        <x:is>
          <x:t xml:space="preserve">source_edge</x:t>
        </x:is>
      </x:c>
      <x:c r="C30" s="15" t="inlineStr">
        <x:is>
          <x:t xml:space="preserve">n.sun</x:t>
        </x:is>
      </x:c>
      <x:c r="D30" s="15" t="inlineStr">
        <x:is>
          <x:t xml:space="preserve">солнце / великое светило</x:t>
        </x:is>
      </x:c>
      <x:c r="E30" s="15" t="inlineStr">
        <x:is>
          <x:t xml:space="preserve">cosmic_entity</x:t>
        </x:is>
      </x:c>
      <x:c r="F30" s="15" t="inlineStr">
        <x:is>
          <x:t xml:space="preserve">participates_in</x:t>
        </x:is>
      </x:c>
      <x:c r="G30" s="15" t="inlineStr">
        <x:is>
          <x:t xml:space="preserve">участвует в</x:t>
        </x:is>
      </x:c>
      <x:c r="H30" s="15" t="inlineStr">
        <x:is>
          <x:t xml:space="preserve">ev.p3.sun_ascends_to_cave_10y</x:t>
        </x:is>
      </x:c>
      <x:c r="I30" s="15" t="inlineStr">
        <x:is>
          <x:t xml:space="preserve">десятилетнее восхождение солнца к пещере</x:t>
        </x:is>
      </x:c>
      <x:c r="J30" s="15" t="inlineStr">
        <x:is>
          <x:t xml:space="preserve">event</x:t>
        </x:is>
      </x:c>
      <x:c r="K30" s="15" t="inlineStr">
        <x:is>
          <x:t xml:space="preserve">source_linked</x:t>
        </x:is>
      </x:c>
      <x:c r="L30" s="15" t="inlineStr">
        <x:is>
          <x:t xml:space="preserve">1,1,1,3</x:t>
        </x:is>
      </x:c>
      <x:c r="M30" s="15" t="inlineStr">
        <x:is>
          <x:t xml:space="preserve"/>
        </x:is>
      </x:c>
      <x:c r="N30" s="15" t="n">
        <x:v>3</x:v>
      </x:c>
      <x:c r="O30" s="15" t="n">
        <x:v>3</x:v>
      </x:c>
      <x:c r="P30" s="15" t="inlineStr">
        <x:is>
          <x:t xml:space="preserve">[3]</x:t>
        </x:is>
      </x:c>
      <x:c r="Q30" s="15" t="inlineStr">
        <x:is>
          <x:t xml:space="preserve">|p3|</x:t>
        </x:is>
      </x:c>
      <x:c r="R30" s="15" t="inlineStr">
        <x:is>
          <x:t xml:space="preserve">seg.1.1.1.3</x:t>
        </x:is>
      </x:c>
      <x:c r="S30" s="15" t="inlineStr">
        <x:is>
          <x:t xml:space="preserve">de+ru+en</x:t>
        </x:is>
      </x:c>
      <x:c r="T30" s="15" t="inlineStr">
        <x:is>
          <x:t xml:space="preserve">local_chain</x:t>
        </x:is>
      </x:c>
      <x:c r="U30" s="15" t="inlineStr">
        <x:is>
          <x:t xml:space="preserve"/>
        </x:is>
      </x:c>
    </x:row>
    <x:row r="31" ht="30" customHeight="1">
      <x:c r="A31" s="15" t="inlineStr">
        <x:is>
          <x:t xml:space="preserve">m020</x:t>
        </x:is>
      </x:c>
      <x:c r="B31" s="15" t="inlineStr">
        <x:is>
          <x:t xml:space="preserve">source_edge</x:t>
        </x:is>
      </x:c>
      <x:c r="C31" s="15" t="inlineStr">
        <x:is>
          <x:t xml:space="preserve">ev.p3.sun_ascends_to_cave_10y</x:t>
        </x:is>
      </x:c>
      <x:c r="D31" s="15" t="inlineStr">
        <x:is>
          <x:t xml:space="preserve">десятилетнее восхождение солнца к пещере</x:t>
        </x:is>
      </x:c>
      <x:c r="E31" s="15" t="inlineStr">
        <x:is>
          <x:t xml:space="preserve">event</x:t>
        </x:is>
      </x:c>
      <x:c r="F31" s="15" t="inlineStr">
        <x:is>
          <x:t xml:space="preserve">destination</x:t>
        </x:is>
      </x:c>
      <x:c r="G31" s="15" t="inlineStr">
        <x:is>
          <x:t xml:space="preserve">направляется в</x:t>
        </x:is>
      </x:c>
      <x:c r="H31" s="15" t="inlineStr">
        <x:is>
          <x:t xml:space="preserve">n.cave</x:t>
        </x:is>
      </x:c>
      <x:c r="I31" s="15" t="inlineStr">
        <x:is>
          <x:t xml:space="preserve">пещера</x:t>
        </x:is>
      </x:c>
      <x:c r="J31" s="15" t="inlineStr">
        <x:is>
          <x:t xml:space="preserve">place-threshold</x:t>
        </x:is>
      </x:c>
      <x:c r="K31" s="15" t="inlineStr">
        <x:is>
          <x:t xml:space="preserve">source_linked</x:t>
        </x:is>
      </x:c>
      <x:c r="L31" s="15" t="inlineStr">
        <x:is>
          <x:t xml:space="preserve">1,1,1,3</x:t>
        </x:is>
      </x:c>
      <x:c r="M31" s="15" t="inlineStr">
        <x:is>
          <x:t xml:space="preserve"/>
        </x:is>
      </x:c>
      <x:c r="N31" s="15" t="n">
        <x:v>3</x:v>
      </x:c>
      <x:c r="O31" s="15" t="n">
        <x:v>3</x:v>
      </x:c>
      <x:c r="P31" s="15" t="inlineStr">
        <x:is>
          <x:t xml:space="preserve">[3]</x:t>
        </x:is>
      </x:c>
      <x:c r="Q31" s="15" t="inlineStr">
        <x:is>
          <x:t xml:space="preserve">|p3|</x:t>
        </x:is>
      </x:c>
      <x:c r="R31" s="15" t="inlineStr">
        <x:is>
          <x:t xml:space="preserve">seg.1.1.1.3</x:t>
        </x:is>
      </x:c>
      <x:c r="S31" s="15" t="inlineStr">
        <x:is>
          <x:t xml:space="preserve">de+ru+en</x:t>
        </x:is>
      </x:c>
      <x:c r="T31" s="15" t="inlineStr">
        <x:is>
          <x:t xml:space="preserve">local_chain</x:t>
        </x:is>
      </x:c>
      <x:c r="U31" s="15" t="inlineStr">
        <x:is>
          <x:t xml:space="preserve"/>
        </x:is>
      </x:c>
    </x:row>
    <x:row r="32" ht="30" customHeight="1">
      <x:c r="A32" s="15" t="inlineStr">
        <x:is>
          <x:t xml:space="preserve">m021</x:t>
        </x:is>
      </x:c>
      <x:c r="B32" s="15" t="inlineStr">
        <x:is>
          <x:t xml:space="preserve">source_edge</x:t>
        </x:is>
      </x:c>
      <x:c r="C32" s="15" t="inlineStr">
        <x:is>
          <x:t xml:space="preserve">ev.p3.sun_ascends_to_cave_10y</x:t>
        </x:is>
      </x:c>
      <x:c r="D32" s="15" t="inlineStr">
        <x:is>
          <x:t xml:space="preserve">десятилетнее восхождение солнца к пещере</x:t>
        </x:is>
      </x:c>
      <x:c r="E32" s="15" t="inlineStr">
        <x:is>
          <x:t xml:space="preserve">event</x:t>
        </x:is>
      </x:c>
      <x:c r="F32" s="15" t="inlineStr">
        <x:is>
          <x:t xml:space="preserve">duration</x:t>
        </x:is>
      </x:c>
      <x:c r="G32" s="15" t="inlineStr">
        <x:is>
          <x:t xml:space="preserve">имеет длительность</x:t>
        </x:is>
      </x:c>
      <x:c r="H32" s="15" t="inlineStr">
        <x:is>
          <x:t xml:space="preserve">literal.ten_years</x:t>
        </x:is>
      </x:c>
      <x:c r="I32" s="15" t="inlineStr">
        <x:is>
          <x:t xml:space="preserve">десять лет</x:t>
        </x:is>
      </x:c>
      <x:c r="J32" s="15" t="inlineStr">
        <x:is>
          <x:t xml:space="preserve">literal</x:t>
        </x:is>
      </x:c>
      <x:c r="K32" s="15" t="inlineStr">
        <x:is>
          <x:t xml:space="preserve">source_linked</x:t>
        </x:is>
      </x:c>
      <x:c r="L32" s="15" t="inlineStr">
        <x:is>
          <x:t xml:space="preserve">1,1,1,3</x:t>
        </x:is>
      </x:c>
      <x:c r="M32" s="15" t="inlineStr">
        <x:is>
          <x:t xml:space="preserve"/>
        </x:is>
      </x:c>
      <x:c r="N32" s="15" t="n">
        <x:v>3</x:v>
      </x:c>
      <x:c r="O32" s="15" t="n">
        <x:v>3</x:v>
      </x:c>
      <x:c r="P32" s="15" t="inlineStr">
        <x:is>
          <x:t xml:space="preserve">[3]</x:t>
        </x:is>
      </x:c>
      <x:c r="Q32" s="15" t="inlineStr">
        <x:is>
          <x:t xml:space="preserve">|p3|</x:t>
        </x:is>
      </x:c>
      <x:c r="R32" s="15" t="inlineStr">
        <x:is>
          <x:t xml:space="preserve">seg.1.1.1.3</x:t>
        </x:is>
      </x:c>
      <x:c r="S32" s="15" t="inlineStr">
        <x:is>
          <x:t xml:space="preserve">de+ru+en</x:t>
        </x:is>
      </x:c>
      <x:c r="T32" s="15" t="inlineStr">
        <x:is>
          <x:t xml:space="preserve">local_chain</x:t>
        </x:is>
      </x:c>
      <x:c r="U32" s="15" t="inlineStr">
        <x:is>
          <x:t xml:space="preserve"/>
        </x:is>
      </x:c>
    </x:row>
    <x:row r="33" ht="30" customHeight="1">
      <x:c r="A33" s="15" t="inlineStr">
        <x:is>
          <x:t xml:space="preserve">m022</x:t>
        </x:is>
      </x:c>
      <x:c r="B33" s="15" t="inlineStr">
        <x:is>
          <x:t xml:space="preserve">source_edge</x:t>
        </x:is>
      </x:c>
      <x:c r="C33" s="15" t="inlineStr">
        <x:is>
          <x:t xml:space="preserve">n.sun</x:t>
        </x:is>
      </x:c>
      <x:c r="D33" s="15" t="inlineStr">
        <x:is>
          <x:t xml:space="preserve">солнце / великое светило</x:t>
        </x:is>
      </x:c>
      <x:c r="E33" s="15" t="inlineStr">
        <x:is>
          <x:t xml:space="preserve">cosmic_entity</x:t>
        </x:is>
      </x:c>
      <x:c r="F33" s="15" t="inlineStr">
        <x:is>
          <x:t xml:space="preserve">participates_in</x:t>
        </x:is>
      </x:c>
      <x:c r="G33" s="15" t="inlineStr">
        <x:is>
          <x:t xml:space="preserve">участвует в</x:t>
        </x:is>
      </x:c>
      <x:c r="H33" s="15" t="inlineStr">
        <x:is>
          <x:t xml:space="preserve">st.p3.sun_would_grow_sated_without_triad</x:t>
        </x:is>
      </x:c>
      <x:c r="I33" s="15" t="inlineStr">
        <x:is>
          <x:t xml:space="preserve">без триады солнце пресытилось бы светом и путем</x:t>
        </x:is>
      </x:c>
      <x:c r="J33" s="15" t="inlineStr">
        <x:is>
          <x:t xml:space="preserve">state</x:t>
        </x:is>
      </x:c>
      <x:c r="K33" s="15" t="inlineStr">
        <x:is>
          <x:t xml:space="preserve">source_linked</x:t>
        </x:is>
      </x:c>
      <x:c r="L33" s="15" t="inlineStr">
        <x:is>
          <x:t xml:space="preserve">1,1,1,3</x:t>
        </x:is>
      </x:c>
      <x:c r="M33" s="15" t="inlineStr">
        <x:is>
          <x:t xml:space="preserve"/>
        </x:is>
      </x:c>
      <x:c r="N33" s="15" t="n">
        <x:v>3</x:v>
      </x:c>
      <x:c r="O33" s="15" t="n">
        <x:v>3</x:v>
      </x:c>
      <x:c r="P33" s="15" t="inlineStr">
        <x:is>
          <x:t xml:space="preserve">[3]</x:t>
        </x:is>
      </x:c>
      <x:c r="Q33" s="15" t="inlineStr">
        <x:is>
          <x:t xml:space="preserve">|p3|</x:t>
        </x:is>
      </x:c>
      <x:c r="R33" s="15" t="inlineStr">
        <x:is>
          <x:t xml:space="preserve">seg.1.1.1.3</x:t>
        </x:is>
      </x:c>
      <x:c r="S33" s="15" t="inlineStr">
        <x:is>
          <x:t xml:space="preserve">de+ru+en</x:t>
        </x:is>
      </x:c>
      <x:c r="T33" s="15" t="inlineStr">
        <x:is>
          <x:t xml:space="preserve">local_chain</x:t>
        </x:is>
      </x:c>
      <x:c r="U33" s="15" t="inlineStr">
        <x:is>
          <x:t xml:space="preserve">условная конструкция пресыщения</x:t>
        </x:is>
      </x:c>
    </x:row>
    <x:row r="34" ht="30" customHeight="1">
      <x:c r="A34" s="15" t="inlineStr">
        <x:is>
          <x:t xml:space="preserve">m023</x:t>
        </x:is>
      </x:c>
      <x:c r="B34" s="15" t="inlineStr">
        <x:is>
          <x:t xml:space="preserve">source_edge</x:t>
        </x:is>
      </x:c>
      <x:c r="C34" s="15" t="inlineStr">
        <x:is>
          <x:t xml:space="preserve">st.p3.sun_would_grow_sated_without_triad</x:t>
        </x:is>
      </x:c>
      <x:c r="D34" s="15" t="inlineStr">
        <x:is>
          <x:t xml:space="preserve">без триады солнце пресытилось бы светом и путем</x:t>
        </x:is>
      </x:c>
      <x:c r="E34" s="15" t="inlineStr">
        <x:is>
          <x:t xml:space="preserve">state</x:t>
        </x:is>
      </x:c>
      <x:c r="F34" s="15" t="inlineStr">
        <x:is>
          <x:t xml:space="preserve">concerns</x:t>
        </x:is>
      </x:c>
      <x:c r="G34" s="15" t="inlineStr">
        <x:is>
          <x:t xml:space="preserve">касается</x:t>
        </x:is>
      </x:c>
      <x:c r="H34" s="15" t="inlineStr">
        <x:is>
          <x:t xml:space="preserve">n.light</x:t>
        </x:is>
      </x:c>
      <x:c r="I34" s="15" t="inlineStr">
        <x:is>
          <x:t xml:space="preserve">свет</x:t>
        </x:is>
      </x:c>
      <x:c r="J34" s="15" t="inlineStr">
        <x:is>
          <x:t xml:space="preserve">quality-substance</x:t>
        </x:is>
      </x:c>
      <x:c r="K34" s="15" t="inlineStr">
        <x:is>
          <x:t xml:space="preserve">source_linked</x:t>
        </x:is>
      </x:c>
      <x:c r="L34" s="15" t="inlineStr">
        <x:is>
          <x:t xml:space="preserve">1,1,1,3</x:t>
        </x:is>
      </x:c>
      <x:c r="M34" s="15" t="inlineStr">
        <x:is>
          <x:t xml:space="preserve"/>
        </x:is>
      </x:c>
      <x:c r="N34" s="15" t="n">
        <x:v>3</x:v>
      </x:c>
      <x:c r="O34" s="15" t="n">
        <x:v>3</x:v>
      </x:c>
      <x:c r="P34" s="15" t="inlineStr">
        <x:is>
          <x:t xml:space="preserve">[3]</x:t>
        </x:is>
      </x:c>
      <x:c r="Q34" s="15" t="inlineStr">
        <x:is>
          <x:t xml:space="preserve">|p3|</x:t>
        </x:is>
      </x:c>
      <x:c r="R34" s="15" t="inlineStr">
        <x:is>
          <x:t xml:space="preserve">seg.1.1.1.3</x:t>
        </x:is>
      </x:c>
      <x:c r="S34" s="15" t="inlineStr">
        <x:is>
          <x:t xml:space="preserve">de+ru+en</x:t>
        </x:is>
      </x:c>
      <x:c r="T34" s="15" t="inlineStr">
        <x:is>
          <x:t xml:space="preserve">local_chain</x:t>
        </x:is>
      </x:c>
      <x:c r="U34" s="15" t="inlineStr">
        <x:is>
          <x:t xml:space="preserve"/>
        </x:is>
      </x:c>
    </x:row>
    <x:row r="35" ht="30" customHeight="1">
      <x:c r="A35" s="15" t="inlineStr">
        <x:is>
          <x:t xml:space="preserve">m024</x:t>
        </x:is>
      </x:c>
      <x:c r="B35" s="15" t="inlineStr">
        <x:is>
          <x:t xml:space="preserve">source_edge</x:t>
        </x:is>
      </x:c>
      <x:c r="C35" s="15" t="inlineStr">
        <x:is>
          <x:t xml:space="preserve">st.p3.sun_would_grow_sated_without_triad</x:t>
        </x:is>
      </x:c>
      <x:c r="D35" s="15" t="inlineStr">
        <x:is>
          <x:t xml:space="preserve">без триады солнце пресытилось бы светом и путем</x:t>
        </x:is>
      </x:c>
      <x:c r="E35" s="15" t="inlineStr">
        <x:is>
          <x:t xml:space="preserve">state</x:t>
        </x:is>
      </x:c>
      <x:c r="F35" s="15" t="inlineStr">
        <x:is>
          <x:t xml:space="preserve">concerns</x:t>
        </x:is>
      </x:c>
      <x:c r="G35" s="15" t="inlineStr">
        <x:is>
          <x:t xml:space="preserve">касается</x:t>
        </x:is>
      </x:c>
      <x:c r="H35" s="15" t="inlineStr">
        <x:is>
          <x:t xml:space="preserve">n.path</x:t>
        </x:is>
      </x:c>
      <x:c r="I35" s="15" t="inlineStr">
        <x:is>
          <x:t xml:space="preserve">путь</x:t>
        </x:is>
      </x:c>
      <x:c r="J35" s="15" t="inlineStr">
        <x:is>
          <x:t xml:space="preserve">route</x:t>
        </x:is>
      </x:c>
      <x:c r="K35" s="15" t="inlineStr">
        <x:is>
          <x:t xml:space="preserve">source_linked</x:t>
        </x:is>
      </x:c>
      <x:c r="L35" s="15" t="inlineStr">
        <x:is>
          <x:t xml:space="preserve">1,1,1,3</x:t>
        </x:is>
      </x:c>
      <x:c r="M35" s="15" t="inlineStr">
        <x:is>
          <x:t xml:space="preserve"/>
        </x:is>
      </x:c>
      <x:c r="N35" s="15" t="n">
        <x:v>3</x:v>
      </x:c>
      <x:c r="O35" s="15" t="n">
        <x:v>3</x:v>
      </x:c>
      <x:c r="P35" s="15" t="inlineStr">
        <x:is>
          <x:t xml:space="preserve">[3]</x:t>
        </x:is>
      </x:c>
      <x:c r="Q35" s="15" t="inlineStr">
        <x:is>
          <x:t xml:space="preserve">|p3|</x:t>
        </x:is>
      </x:c>
      <x:c r="R35" s="15" t="inlineStr">
        <x:is>
          <x:t xml:space="preserve">seg.1.1.1.3</x:t>
        </x:is>
      </x:c>
      <x:c r="S35" s="15" t="inlineStr">
        <x:is>
          <x:t xml:space="preserve">de+ru+en</x:t>
        </x:is>
      </x:c>
      <x:c r="T35" s="15" t="inlineStr">
        <x:is>
          <x:t xml:space="preserve">local_chain</x:t>
        </x:is>
      </x:c>
      <x:c r="U35" s="15" t="inlineStr">
        <x:is>
          <x:t xml:space="preserve"/>
        </x:is>
      </x:c>
    </x:row>
    <x:row r="36" ht="30" customHeight="1">
      <x:c r="A36" s="15" t="inlineStr">
        <x:is>
          <x:t xml:space="preserve">m025</x:t>
        </x:is>
      </x:c>
      <x:c r="B36" s="15" t="inlineStr">
        <x:is>
          <x:t xml:space="preserve">source_edge</x:t>
        </x:is>
      </x:c>
      <x:c r="C36" s="15" t="inlineStr">
        <x:is>
          <x:t xml:space="preserve">st.p3.sun_would_grow_sated_without_triad</x:t>
        </x:is>
      </x:c>
      <x:c r="D36" s="15" t="inlineStr">
        <x:is>
          <x:t xml:space="preserve">без триады солнце пресытилось бы светом и путем</x:t>
        </x:is>
      </x:c>
      <x:c r="E36" s="15" t="inlineStr">
        <x:is>
          <x:t xml:space="preserve">state</x:t>
        </x:is>
      </x:c>
      <x:c r="F36" s="15" t="inlineStr">
        <x:is>
          <x:t xml:space="preserve">prevented_by</x:t>
        </x:is>
      </x:c>
      <x:c r="G36" s="15" t="inlineStr">
        <x:is>
          <x:t xml:space="preserve">предотвращается через</x:t>
        </x:is>
      </x:c>
      <x:c r="H36" s="15" t="inlineStr">
        <x:is>
          <x:t xml:space="preserve">n.triad_zarathustra_eagle_serpent</x:t>
        </x:is>
      </x:c>
      <x:c r="I36" s="15" t="inlineStr">
        <x:is>
          <x:t xml:space="preserve">Заратустра + орёл + змея</x:t>
        </x:is>
      </x:c>
      <x:c r="J36" s="15" t="inlineStr">
        <x:is>
          <x:t xml:space="preserve">collective_subject</x:t>
        </x:is>
      </x:c>
      <x:c r="K36" s="15" t="inlineStr">
        <x:is>
          <x:t xml:space="preserve">source_linked</x:t>
        </x:is>
      </x:c>
      <x:c r="L36" s="15" t="inlineStr">
        <x:is>
          <x:t xml:space="preserve">1,1,1,3</x:t>
        </x:is>
      </x:c>
      <x:c r="M36" s="15" t="inlineStr">
        <x:is>
          <x:t xml:space="preserve"/>
        </x:is>
      </x:c>
      <x:c r="N36" s="15" t="n">
        <x:v>3</x:v>
      </x:c>
      <x:c r="O36" s="15" t="n">
        <x:v>3</x:v>
      </x:c>
      <x:c r="P36" s="15" t="inlineStr">
        <x:is>
          <x:t xml:space="preserve">[3]</x:t>
        </x:is>
      </x:c>
      <x:c r="Q36" s="15" t="inlineStr">
        <x:is>
          <x:t xml:space="preserve">|p3|</x:t>
        </x:is>
      </x:c>
      <x:c r="R36" s="15" t="inlineStr">
        <x:is>
          <x:t xml:space="preserve">seg.1.1.1.3</x:t>
        </x:is>
      </x:c>
      <x:c r="S36" s="15" t="inlineStr">
        <x:is>
          <x:t xml:space="preserve">de+ru+en</x:t>
        </x:is>
      </x:c>
      <x:c r="T36" s="15" t="inlineStr">
        <x:is>
          <x:t xml:space="preserve">local_chain</x:t>
        </x:is>
      </x:c>
      <x:c r="U36" s="15" t="inlineStr">
        <x:is>
          <x:t xml:space="preserve"/>
        </x:is>
      </x:c>
    </x:row>
    <x:row r="37" ht="30" customHeight="1">
      <x:c r="A37" s="15" t="inlineStr">
        <x:is>
          <x:t xml:space="preserve">m026</x:t>
        </x:is>
      </x:c>
      <x:c r="B37" s="15" t="inlineStr">
        <x:is>
          <x:t xml:space="preserve">source_edge</x:t>
        </x:is>
      </x:c>
      <x:c r="C37" s="15" t="inlineStr">
        <x:is>
          <x:t xml:space="preserve">n.triad_zarathustra_eagle_serpent</x:t>
        </x:is>
      </x:c>
      <x:c r="D37" s="15" t="inlineStr">
        <x:is>
          <x:t xml:space="preserve">Заратустра + орёл + змея</x:t>
        </x:is>
      </x:c>
      <x:c r="E37" s="15" t="inlineStr">
        <x:is>
          <x:t xml:space="preserve">collective_subject</x:t>
        </x:is>
      </x:c>
      <x:c r="F37" s="15" t="inlineStr">
        <x:is>
          <x:t xml:space="preserve">includes</x:t>
        </x:is>
      </x:c>
      <x:c r="G37" s="15" t="inlineStr">
        <x:is>
          <x:t xml:space="preserve">включает</x:t>
        </x:is>
      </x:c>
      <x:c r="H37" s="15" t="inlineStr">
        <x:is>
          <x:t xml:space="preserve">n.zarathustra</x:t>
        </x:is>
      </x:c>
      <x:c r="I37" s="15" t="inlineStr">
        <x:is>
          <x:t xml:space="preserve">Заратустра</x:t>
        </x:is>
      </x:c>
      <x:c r="J37" s="15" t="inlineStr">
        <x:is>
          <x:t xml:space="preserve">persona</x:t>
        </x:is>
      </x:c>
      <x:c r="K37" s="15" t="inlineStr">
        <x:is>
          <x:t xml:space="preserve">source_linked</x:t>
        </x:is>
      </x:c>
      <x:c r="L37" s="15" t="inlineStr">
        <x:is>
          <x:t xml:space="preserve">1,1,1,3</x:t>
        </x:is>
      </x:c>
      <x:c r="M37" s="15" t="inlineStr">
        <x:is>
          <x:t xml:space="preserve"/>
        </x:is>
      </x:c>
      <x:c r="N37" s="15" t="n">
        <x:v>3</x:v>
      </x:c>
      <x:c r="O37" s="15" t="n">
        <x:v>3</x:v>
      </x:c>
      <x:c r="P37" s="15" t="inlineStr">
        <x:is>
          <x:t xml:space="preserve">[3]</x:t>
        </x:is>
      </x:c>
      <x:c r="Q37" s="15" t="inlineStr">
        <x:is>
          <x:t xml:space="preserve">|p3|</x:t>
        </x:is>
      </x:c>
      <x:c r="R37" s="15" t="inlineStr">
        <x:is>
          <x:t xml:space="preserve">seg.1.1.1.3</x:t>
        </x:is>
      </x:c>
      <x:c r="S37" s="15" t="inlineStr">
        <x:is>
          <x:t xml:space="preserve">de+ru+en</x:t>
        </x:is>
      </x:c>
      <x:c r="T37" s="15" t="inlineStr">
        <x:is>
          <x:t xml:space="preserve">local_chain</x:t>
        </x:is>
      </x:c>
      <x:c r="U37" s="15" t="inlineStr">
        <x:is>
          <x:t xml:space="preserve"/>
        </x:is>
      </x:c>
    </x:row>
    <x:row r="38" ht="30" customHeight="1">
      <x:c r="A38" s="15" t="inlineStr">
        <x:is>
          <x:t xml:space="preserve">m027</x:t>
        </x:is>
      </x:c>
      <x:c r="B38" s="15" t="inlineStr">
        <x:is>
          <x:t xml:space="preserve">source_edge</x:t>
        </x:is>
      </x:c>
      <x:c r="C38" s="15" t="inlineStr">
        <x:is>
          <x:t xml:space="preserve">n.triad_zarathustra_eagle_serpent</x:t>
        </x:is>
      </x:c>
      <x:c r="D38" s="15" t="inlineStr">
        <x:is>
          <x:t xml:space="preserve">Заратустра + орёл + змея</x:t>
        </x:is>
      </x:c>
      <x:c r="E38" s="15" t="inlineStr">
        <x:is>
          <x:t xml:space="preserve">collective_subject</x:t>
        </x:is>
      </x:c>
      <x:c r="F38" s="15" t="inlineStr">
        <x:is>
          <x:t xml:space="preserve">includes</x:t>
        </x:is>
      </x:c>
      <x:c r="G38" s="15" t="inlineStr">
        <x:is>
          <x:t xml:space="preserve">включает</x:t>
        </x:is>
      </x:c>
      <x:c r="H38" s="15" t="inlineStr">
        <x:is>
          <x:t xml:space="preserve">n.eagle</x:t>
        </x:is>
      </x:c>
      <x:c r="I38" s="15" t="inlineStr">
        <x:is>
          <x:t xml:space="preserve">орёл</x:t>
        </x:is>
      </x:c>
      <x:c r="J38" s="15" t="inlineStr">
        <x:is>
          <x:t xml:space="preserve">animal-symbol</x:t>
        </x:is>
      </x:c>
      <x:c r="K38" s="15" t="inlineStr">
        <x:is>
          <x:t xml:space="preserve">source_linked</x:t>
        </x:is>
      </x:c>
      <x:c r="L38" s="15" t="inlineStr">
        <x:is>
          <x:t xml:space="preserve">1,1,1,3</x:t>
        </x:is>
      </x:c>
      <x:c r="M38" s="15" t="inlineStr">
        <x:is>
          <x:t xml:space="preserve"/>
        </x:is>
      </x:c>
      <x:c r="N38" s="15" t="n">
        <x:v>3</x:v>
      </x:c>
      <x:c r="O38" s="15" t="n">
        <x:v>3</x:v>
      </x:c>
      <x:c r="P38" s="15" t="inlineStr">
        <x:is>
          <x:t xml:space="preserve">[3]</x:t>
        </x:is>
      </x:c>
      <x:c r="Q38" s="15" t="inlineStr">
        <x:is>
          <x:t xml:space="preserve">|p3|</x:t>
        </x:is>
      </x:c>
      <x:c r="R38" s="15" t="inlineStr">
        <x:is>
          <x:t xml:space="preserve">seg.1.1.1.3</x:t>
        </x:is>
      </x:c>
      <x:c r="S38" s="15" t="inlineStr">
        <x:is>
          <x:t xml:space="preserve">de+ru+en</x:t>
        </x:is>
      </x:c>
      <x:c r="T38" s="15" t="inlineStr">
        <x:is>
          <x:t xml:space="preserve">local_chain</x:t>
        </x:is>
      </x:c>
      <x:c r="U38" s="15" t="inlineStr">
        <x:is>
          <x:t xml:space="preserve"/>
        </x:is>
      </x:c>
    </x:row>
    <x:row r="39" ht="30" customHeight="1">
      <x:c r="A39" s="15" t="inlineStr">
        <x:is>
          <x:t xml:space="preserve">m028</x:t>
        </x:is>
      </x:c>
      <x:c r="B39" s="15" t="inlineStr">
        <x:is>
          <x:t xml:space="preserve">source_edge</x:t>
        </x:is>
      </x:c>
      <x:c r="C39" s="15" t="inlineStr">
        <x:is>
          <x:t xml:space="preserve">n.triad_zarathustra_eagle_serpent</x:t>
        </x:is>
      </x:c>
      <x:c r="D39" s="15" t="inlineStr">
        <x:is>
          <x:t xml:space="preserve">Заратустра + орёл + змея</x:t>
        </x:is>
      </x:c>
      <x:c r="E39" s="15" t="inlineStr">
        <x:is>
          <x:t xml:space="preserve">collective_subject</x:t>
        </x:is>
      </x:c>
      <x:c r="F39" s="15" t="inlineStr">
        <x:is>
          <x:t xml:space="preserve">includes</x:t>
        </x:is>
      </x:c>
      <x:c r="G39" s="15" t="inlineStr">
        <x:is>
          <x:t xml:space="preserve">включает</x:t>
        </x:is>
      </x:c>
      <x:c r="H39" s="15" t="inlineStr">
        <x:is>
          <x:t xml:space="preserve">n.serpent</x:t>
        </x:is>
      </x:c>
      <x:c r="I39" s="15" t="inlineStr">
        <x:is>
          <x:t xml:space="preserve">змея</x:t>
        </x:is>
      </x:c>
      <x:c r="J39" s="15" t="inlineStr">
        <x:is>
          <x:t xml:space="preserve">animal-symbol</x:t>
        </x:is>
      </x:c>
      <x:c r="K39" s="15" t="inlineStr">
        <x:is>
          <x:t xml:space="preserve">source_linked</x:t>
        </x:is>
      </x:c>
      <x:c r="L39" s="15" t="inlineStr">
        <x:is>
          <x:t xml:space="preserve">1,1,1,3</x:t>
        </x:is>
      </x:c>
      <x:c r="M39" s="15" t="inlineStr">
        <x:is>
          <x:t xml:space="preserve"/>
        </x:is>
      </x:c>
      <x:c r="N39" s="15" t="n">
        <x:v>3</x:v>
      </x:c>
      <x:c r="O39" s="15" t="n">
        <x:v>3</x:v>
      </x:c>
      <x:c r="P39" s="15" t="inlineStr">
        <x:is>
          <x:t xml:space="preserve">[3]</x:t>
        </x:is>
      </x:c>
      <x:c r="Q39" s="15" t="inlineStr">
        <x:is>
          <x:t xml:space="preserve">|p3|</x:t>
        </x:is>
      </x:c>
      <x:c r="R39" s="15" t="inlineStr">
        <x:is>
          <x:t xml:space="preserve">seg.1.1.1.3</x:t>
        </x:is>
      </x:c>
      <x:c r="S39" s="15" t="inlineStr">
        <x:is>
          <x:t xml:space="preserve">de+ru+en</x:t>
        </x:is>
      </x:c>
      <x:c r="T39" s="15" t="inlineStr">
        <x:is>
          <x:t xml:space="preserve">local_chain</x:t>
        </x:is>
      </x:c>
      <x:c r="U39" s="15" t="inlineStr">
        <x:is>
          <x:t xml:space="preserve"/>
        </x:is>
      </x:c>
    </x:row>
    <x:row r="40" ht="30" customHeight="1">
      <x:c r="A40" s="15" t="inlineStr">
        <x:is>
          <x:t xml:space="preserve">m029</x:t>
        </x:is>
      </x:c>
      <x:c r="B40" s="15" t="inlineStr">
        <x:is>
          <x:t xml:space="preserve">source_edge</x:t>
        </x:is>
      </x:c>
      <x:c r="C40" s="15" t="inlineStr">
        <x:is>
          <x:t xml:space="preserve">n.triad_zarathustra_eagle_serpent</x:t>
        </x:is>
      </x:c>
      <x:c r="D40" s="15" t="inlineStr">
        <x:is>
          <x:t xml:space="preserve">Заратустра + орёл + змея</x:t>
        </x:is>
      </x:c>
      <x:c r="E40" s="15" t="inlineStr">
        <x:is>
          <x:t xml:space="preserve">collective_subject</x:t>
        </x:is>
      </x:c>
      <x:c r="F40" s="15" t="inlineStr">
        <x:is>
          <x:t xml:space="preserve">performs</x:t>
        </x:is>
      </x:c>
      <x:c r="G40" s="15" t="inlineStr">
        <x:is>
          <x:t xml:space="preserve">совершает</x:t>
        </x:is>
      </x:c>
      <x:c r="H40" s="15" t="inlineStr">
        <x:is>
          <x:t xml:space="preserve">ev.p4.morning_wait_for_sun</x:t>
        </x:is>
      </x:c>
      <x:c r="I40" s="15" t="inlineStr">
        <x:is>
          <x:t xml:space="preserve">утреннее ожидание солнца</x:t>
        </x:is>
      </x:c>
      <x:c r="J40" s="15" t="inlineStr">
        <x:is>
          <x:t xml:space="preserve">event</x:t>
        </x:is>
      </x:c>
      <x:c r="K40" s="15" t="inlineStr">
        <x:is>
          <x:t xml:space="preserve">source_linked</x:t>
        </x:is>
      </x:c>
      <x:c r="L40" s="15" t="inlineStr">
        <x:is>
          <x:t xml:space="preserve">1,1,1,4</x:t>
        </x:is>
      </x:c>
      <x:c r="M40" s="15" t="inlineStr">
        <x:is>
          <x:t xml:space="preserve"/>
        </x:is>
      </x:c>
      <x:c r="N40" s="15" t="n">
        <x:v>4</x:v>
      </x:c>
      <x:c r="O40" s="15" t="n">
        <x:v>4</x:v>
      </x:c>
      <x:c r="P40" s="15" t="inlineStr">
        <x:is>
          <x:t xml:space="preserve">[4]</x:t>
        </x:is>
      </x:c>
      <x:c r="Q40" s="15" t="inlineStr">
        <x:is>
          <x:t xml:space="preserve">|p4|</x:t>
        </x:is>
      </x:c>
      <x:c r="R40" s="15" t="inlineStr">
        <x:is>
          <x:t xml:space="preserve">seg.1.1.1.4</x:t>
        </x:is>
      </x:c>
      <x:c r="S40" s="15" t="inlineStr">
        <x:is>
          <x:t xml:space="preserve">de+ru+en</x:t>
        </x:is>
      </x:c>
      <x:c r="T40" s="15" t="inlineStr">
        <x:is>
          <x:t xml:space="preserve">local_chain</x:t>
        </x:is>
      </x:c>
      <x:c r="U40" s="15" t="inlineStr">
        <x:is>
          <x:t xml:space="preserve"/>
        </x:is>
      </x:c>
    </x:row>
    <x:row r="41" ht="30" customHeight="1">
      <x:c r="A41" s="15" t="inlineStr">
        <x:is>
          <x:t xml:space="preserve">m030</x:t>
        </x:is>
      </x:c>
      <x:c r="B41" s="15" t="inlineStr">
        <x:is>
          <x:t xml:space="preserve">source_edge</x:t>
        </x:is>
      </x:c>
      <x:c r="C41" s="15" t="inlineStr">
        <x:is>
          <x:t xml:space="preserve">ev.p4.morning_wait_for_sun</x:t>
        </x:is>
      </x:c>
      <x:c r="D41" s="15" t="inlineStr">
        <x:is>
          <x:t xml:space="preserve">утреннее ожидание солнца</x:t>
        </x:is>
      </x:c>
      <x:c r="E41" s="15" t="inlineStr">
        <x:is>
          <x:t xml:space="preserve">event</x:t>
        </x:is>
      </x:c>
      <x:c r="F41" s="15" t="inlineStr">
        <x:is>
          <x:t xml:space="preserve">occurs_every</x:t>
        </x:is>
      </x:c>
      <x:c r="G41" s="15" t="inlineStr">
        <x:is>
          <x:t xml:space="preserve">повторяется каждое</x:t>
        </x:is>
      </x:c>
      <x:c r="H41" s="15" t="inlineStr">
        <x:is>
          <x:t xml:space="preserve">n.morning</x:t>
        </x:is>
      </x:c>
      <x:c r="I41" s="15" t="inlineStr">
        <x:is>
          <x:t xml:space="preserve">утро</x:t>
        </x:is>
      </x:c>
      <x:c r="J41" s="15" t="inlineStr">
        <x:is>
          <x:t xml:space="preserve">time</x:t>
        </x:is>
      </x:c>
      <x:c r="K41" s="15" t="inlineStr">
        <x:is>
          <x:t xml:space="preserve">source_linked</x:t>
        </x:is>
      </x:c>
      <x:c r="L41" s="15" t="inlineStr">
        <x:is>
          <x:t xml:space="preserve">1,1,1,4</x:t>
        </x:is>
      </x:c>
      <x:c r="M41" s="15" t="inlineStr">
        <x:is>
          <x:t xml:space="preserve"/>
        </x:is>
      </x:c>
      <x:c r="N41" s="15" t="n">
        <x:v>4</x:v>
      </x:c>
      <x:c r="O41" s="15" t="n">
        <x:v>4</x:v>
      </x:c>
      <x:c r="P41" s="15" t="inlineStr">
        <x:is>
          <x:t xml:space="preserve">[4]</x:t>
        </x:is>
      </x:c>
      <x:c r="Q41" s="15" t="inlineStr">
        <x:is>
          <x:t xml:space="preserve">|p4|</x:t>
        </x:is>
      </x:c>
      <x:c r="R41" s="15" t="inlineStr">
        <x:is>
          <x:t xml:space="preserve">seg.1.1.1.4</x:t>
        </x:is>
      </x:c>
      <x:c r="S41" s="15" t="inlineStr">
        <x:is>
          <x:t xml:space="preserve">de+ru+en</x:t>
        </x:is>
      </x:c>
      <x:c r="T41" s="15" t="inlineStr">
        <x:is>
          <x:t xml:space="preserve">local_chain</x:t>
        </x:is>
      </x:c>
      <x:c r="U41" s="15" t="inlineStr">
        <x:is>
          <x:t xml:space="preserve"/>
        </x:is>
      </x:c>
    </x:row>
    <x:row r="42" ht="30" customHeight="1">
      <x:c r="A42" s="15" t="inlineStr">
        <x:is>
          <x:t xml:space="preserve">m031</x:t>
        </x:is>
      </x:c>
      <x:c r="B42" s="15" t="inlineStr">
        <x:is>
          <x:t xml:space="preserve">source_edge</x:t>
        </x:is>
      </x:c>
      <x:c r="C42" s="15" t="inlineStr">
        <x:is>
          <x:t xml:space="preserve">ev.p4.morning_wait_for_sun</x:t>
        </x:is>
      </x:c>
      <x:c r="D42" s="15" t="inlineStr">
        <x:is>
          <x:t xml:space="preserve">утреннее ожидание солнца</x:t>
        </x:is>
      </x:c>
      <x:c r="E42" s="15" t="inlineStr">
        <x:is>
          <x:t xml:space="preserve">event</x:t>
        </x:is>
      </x:c>
      <x:c r="F42" s="15" t="inlineStr">
        <x:is>
          <x:t xml:space="preserve">targets</x:t>
        </x:is>
      </x:c>
      <x:c r="G42" s="15" t="inlineStr">
        <x:is>
          <x:t xml:space="preserve">направлено к</x:t>
        </x:is>
      </x:c>
      <x:c r="H42" s="15" t="inlineStr">
        <x:is>
          <x:t xml:space="preserve">n.sun</x:t>
        </x:is>
      </x:c>
      <x:c r="I42" s="15" t="inlineStr">
        <x:is>
          <x:t xml:space="preserve">солнце / великое светило</x:t>
        </x:is>
      </x:c>
      <x:c r="J42" s="15" t="inlineStr">
        <x:is>
          <x:t xml:space="preserve">cosmic_entity</x:t>
        </x:is>
      </x:c>
      <x:c r="K42" s="15" t="inlineStr">
        <x:is>
          <x:t xml:space="preserve">source_linked</x:t>
        </x:is>
      </x:c>
      <x:c r="L42" s="15" t="inlineStr">
        <x:is>
          <x:t xml:space="preserve">1,1,1,4</x:t>
        </x:is>
      </x:c>
      <x:c r="M42" s="15" t="inlineStr">
        <x:is>
          <x:t xml:space="preserve"/>
        </x:is>
      </x:c>
      <x:c r="N42" s="15" t="n">
        <x:v>4</x:v>
      </x:c>
      <x:c r="O42" s="15" t="n">
        <x:v>4</x:v>
      </x:c>
      <x:c r="P42" s="15" t="inlineStr">
        <x:is>
          <x:t xml:space="preserve">[4]</x:t>
        </x:is>
      </x:c>
      <x:c r="Q42" s="15" t="inlineStr">
        <x:is>
          <x:t xml:space="preserve">|p4|</x:t>
        </x:is>
      </x:c>
      <x:c r="R42" s="15" t="inlineStr">
        <x:is>
          <x:t xml:space="preserve">seg.1.1.1.4</x:t>
        </x:is>
      </x:c>
      <x:c r="S42" s="15" t="inlineStr">
        <x:is>
          <x:t xml:space="preserve">de+ru+en</x:t>
        </x:is>
      </x:c>
      <x:c r="T42" s="15" t="inlineStr">
        <x:is>
          <x:t xml:space="preserve">local_chain</x:t>
        </x:is>
      </x:c>
      <x:c r="U42" s="15" t="inlineStr">
        <x:is>
          <x:t xml:space="preserve"/>
        </x:is>
      </x:c>
    </x:row>
    <x:row r="43" ht="30" customHeight="1">
      <x:c r="A43" s="15" t="inlineStr">
        <x:is>
          <x:t xml:space="preserve">m032</x:t>
        </x:is>
      </x:c>
      <x:c r="B43" s="15" t="inlineStr">
        <x:is>
          <x:t xml:space="preserve">source_edge</x:t>
        </x:is>
      </x:c>
      <x:c r="C43" s="15" t="inlineStr">
        <x:is>
          <x:t xml:space="preserve">n.triad_zarathustra_eagle_serpent</x:t>
        </x:is>
      </x:c>
      <x:c r="D43" s="15" t="inlineStr">
        <x:is>
          <x:t xml:space="preserve">Заратустра + орёл + змея</x:t>
        </x:is>
      </x:c>
      <x:c r="E43" s="15" t="inlineStr">
        <x:is>
          <x:t xml:space="preserve">collective_subject</x:t>
        </x:is>
      </x:c>
      <x:c r="F43" s="15" t="inlineStr">
        <x:is>
          <x:t xml:space="preserve">performs</x:t>
        </x:is>
      </x:c>
      <x:c r="G43" s="15" t="inlineStr">
        <x:is>
          <x:t xml:space="preserve">совершает</x:t>
        </x:is>
      </x:c>
      <x:c r="H43" s="15" t="inlineStr">
        <x:is>
          <x:t xml:space="preserve">ev.p4.receive_overflow_from_sun</x:t>
        </x:is>
      </x:c>
      <x:c r="I43" s="15" t="inlineStr">
        <x:is>
          <x:t xml:space="preserve">принятие избытка солнца</x:t>
        </x:is>
      </x:c>
      <x:c r="J43" s="15" t="inlineStr">
        <x:is>
          <x:t xml:space="preserve">event</x:t>
        </x:is>
      </x:c>
      <x:c r="K43" s="15" t="inlineStr">
        <x:is>
          <x:t xml:space="preserve">source_linked</x:t>
        </x:is>
      </x:c>
      <x:c r="L43" s="15" t="inlineStr">
        <x:is>
          <x:t xml:space="preserve">1,1,1,4</x:t>
        </x:is>
      </x:c>
      <x:c r="M43" s="15" t="inlineStr">
        <x:is>
          <x:t xml:space="preserve"/>
        </x:is>
      </x:c>
      <x:c r="N43" s="15" t="n">
        <x:v>4</x:v>
      </x:c>
      <x:c r="O43" s="15" t="n">
        <x:v>4</x:v>
      </x:c>
      <x:c r="P43" s="15" t="inlineStr">
        <x:is>
          <x:t xml:space="preserve">[4]</x:t>
        </x:is>
      </x:c>
      <x:c r="Q43" s="15" t="inlineStr">
        <x:is>
          <x:t xml:space="preserve">|p4|</x:t>
        </x:is>
      </x:c>
      <x:c r="R43" s="15" t="inlineStr">
        <x:is>
          <x:t xml:space="preserve">seg.1.1.1.4</x:t>
        </x:is>
      </x:c>
      <x:c r="S43" s="15" t="inlineStr">
        <x:is>
          <x:t xml:space="preserve">de+ru+en</x:t>
        </x:is>
      </x:c>
      <x:c r="T43" s="15" t="inlineStr">
        <x:is>
          <x:t xml:space="preserve">local_chain</x:t>
        </x:is>
      </x:c>
      <x:c r="U43" s="15" t="inlineStr">
        <x:is>
          <x:t xml:space="preserve"/>
        </x:is>
      </x:c>
    </x:row>
    <x:row r="44" ht="30" customHeight="1">
      <x:c r="A44" s="15" t="inlineStr">
        <x:is>
          <x:t xml:space="preserve">m033</x:t>
        </x:is>
      </x:c>
      <x:c r="B44" s="15" t="inlineStr">
        <x:is>
          <x:t xml:space="preserve">source_edge</x:t>
        </x:is>
      </x:c>
      <x:c r="C44" s="15" t="inlineStr">
        <x:is>
          <x:t xml:space="preserve">ev.p4.receive_overflow_from_sun</x:t>
        </x:is>
      </x:c>
      <x:c r="D44" s="15" t="inlineStr">
        <x:is>
          <x:t xml:space="preserve">принятие избытка солнца</x:t>
        </x:is>
      </x:c>
      <x:c r="E44" s="15" t="inlineStr">
        <x:is>
          <x:t xml:space="preserve">event</x:t>
        </x:is>
      </x:c>
      <x:c r="F44" s="15" t="inlineStr">
        <x:is>
          <x:t xml:space="preserve">receives</x:t>
        </x:is>
      </x:c>
      <x:c r="G44" s="15" t="inlineStr">
        <x:is>
          <x:t xml:space="preserve">получает</x:t>
        </x:is>
      </x:c>
      <x:c r="H44" s="15" t="inlineStr">
        <x:is>
          <x:t xml:space="preserve">n.overflow</x:t>
        </x:is>
      </x:c>
      <x:c r="I44" s="15" t="inlineStr">
        <x:is>
          <x:t xml:space="preserve">избыток / overflow</x:t>
        </x:is>
      </x:c>
      <x:c r="J44" s="15" t="inlineStr">
        <x:is>
          <x:t xml:space="preserve">abundance</x:t>
        </x:is>
      </x:c>
      <x:c r="K44" s="15" t="inlineStr">
        <x:is>
          <x:t xml:space="preserve">source_linked</x:t>
        </x:is>
      </x:c>
      <x:c r="L44" s="15" t="inlineStr">
        <x:is>
          <x:t xml:space="preserve">1,1,1,4</x:t>
        </x:is>
      </x:c>
      <x:c r="M44" s="15" t="inlineStr">
        <x:is>
          <x:t xml:space="preserve"/>
        </x:is>
      </x:c>
      <x:c r="N44" s="15" t="n">
        <x:v>4</x:v>
      </x:c>
      <x:c r="O44" s="15" t="n">
        <x:v>4</x:v>
      </x:c>
      <x:c r="P44" s="15" t="inlineStr">
        <x:is>
          <x:t xml:space="preserve">[4]</x:t>
        </x:is>
      </x:c>
      <x:c r="Q44" s="15" t="inlineStr">
        <x:is>
          <x:t xml:space="preserve">|p4|</x:t>
        </x:is>
      </x:c>
      <x:c r="R44" s="15" t="inlineStr">
        <x:is>
          <x:t xml:space="preserve">seg.1.1.1.4</x:t>
        </x:is>
      </x:c>
      <x:c r="S44" s="15" t="inlineStr">
        <x:is>
          <x:t xml:space="preserve">de+ru+en</x:t>
        </x:is>
      </x:c>
      <x:c r="T44" s="15" t="inlineStr">
        <x:is>
          <x:t xml:space="preserve">local_chain</x:t>
        </x:is>
      </x:c>
      <x:c r="U44" s="15" t="inlineStr">
        <x:is>
          <x:t xml:space="preserve"/>
        </x:is>
      </x:c>
    </x:row>
    <x:row r="45" ht="30" customHeight="1">
      <x:c r="A45" s="15" t="inlineStr">
        <x:is>
          <x:t xml:space="preserve">m034</x:t>
        </x:is>
      </x:c>
      <x:c r="B45" s="15" t="inlineStr">
        <x:is>
          <x:t xml:space="preserve">source_edge</x:t>
        </x:is>
      </x:c>
      <x:c r="C45" s="15" t="inlineStr">
        <x:is>
          <x:t xml:space="preserve">ev.p4.receive_overflow_from_sun</x:t>
        </x:is>
      </x:c>
      <x:c r="D45" s="15" t="inlineStr">
        <x:is>
          <x:t xml:space="preserve">принятие избытка солнца</x:t>
        </x:is>
      </x:c>
      <x:c r="E45" s="15" t="inlineStr">
        <x:is>
          <x:t xml:space="preserve">event</x:t>
        </x:is>
      </x:c>
      <x:c r="F45" s="15" t="inlineStr">
        <x:is>
          <x:t xml:space="preserve">from</x:t>
        </x:is>
      </x:c>
      <x:c r="G45" s="15" t="inlineStr">
        <x:is>
          <x:t xml:space="preserve">от</x:t>
        </x:is>
      </x:c>
      <x:c r="H45" s="15" t="inlineStr">
        <x:is>
          <x:t xml:space="preserve">n.sun</x:t>
        </x:is>
      </x:c>
      <x:c r="I45" s="15" t="inlineStr">
        <x:is>
          <x:t xml:space="preserve">солнце / великое светило</x:t>
        </x:is>
      </x:c>
      <x:c r="J45" s="15" t="inlineStr">
        <x:is>
          <x:t xml:space="preserve">cosmic_entity</x:t>
        </x:is>
      </x:c>
      <x:c r="K45" s="15" t="inlineStr">
        <x:is>
          <x:t xml:space="preserve">source_linked</x:t>
        </x:is>
      </x:c>
      <x:c r="L45" s="15" t="inlineStr">
        <x:is>
          <x:t xml:space="preserve">1,1,1,4</x:t>
        </x:is>
      </x:c>
      <x:c r="M45" s="15" t="inlineStr">
        <x:is>
          <x:t xml:space="preserve"/>
        </x:is>
      </x:c>
      <x:c r="N45" s="15" t="n">
        <x:v>4</x:v>
      </x:c>
      <x:c r="O45" s="15" t="n">
        <x:v>4</x:v>
      </x:c>
      <x:c r="P45" s="15" t="inlineStr">
        <x:is>
          <x:t xml:space="preserve">[4]</x:t>
        </x:is>
      </x:c>
      <x:c r="Q45" s="15" t="inlineStr">
        <x:is>
          <x:t xml:space="preserve">|p4|</x:t>
        </x:is>
      </x:c>
      <x:c r="R45" s="15" t="inlineStr">
        <x:is>
          <x:t xml:space="preserve">seg.1.1.1.4</x:t>
        </x:is>
      </x:c>
      <x:c r="S45" s="15" t="inlineStr">
        <x:is>
          <x:t xml:space="preserve">de+ru+en</x:t>
        </x:is>
      </x:c>
      <x:c r="T45" s="15" t="inlineStr">
        <x:is>
          <x:t xml:space="preserve">local_chain</x:t>
        </x:is>
      </x:c>
      <x:c r="U45" s="15" t="inlineStr">
        <x:is>
          <x:t xml:space="preserve"/>
        </x:is>
      </x:c>
    </x:row>
    <x:row r="46" ht="30" customHeight="1">
      <x:c r="A46" s="15" t="inlineStr">
        <x:is>
          <x:t xml:space="preserve">m035</x:t>
        </x:is>
      </x:c>
      <x:c r="B46" s="15" t="inlineStr">
        <x:is>
          <x:t xml:space="preserve">source_edge</x:t>
        </x:is>
      </x:c>
      <x:c r="C46" s="15" t="inlineStr">
        <x:is>
          <x:t xml:space="preserve">n.triad_zarathustra_eagle_serpent</x:t>
        </x:is>
      </x:c>
      <x:c r="D46" s="15" t="inlineStr">
        <x:is>
          <x:t xml:space="preserve">Заратустра + орёл + змея</x:t>
        </x:is>
      </x:c>
      <x:c r="E46" s="15" t="inlineStr">
        <x:is>
          <x:t xml:space="preserve">collective_subject</x:t>
        </x:is>
      </x:c>
      <x:c r="F46" s="15" t="inlineStr">
        <x:is>
          <x:t xml:space="preserve">performs</x:t>
        </x:is>
      </x:c>
      <x:c r="G46" s="15" t="inlineStr">
        <x:is>
          <x:t xml:space="preserve">совершает</x:t>
        </x:is>
      </x:c>
      <x:c r="H46" s="15" t="inlineStr">
        <x:is>
          <x:t xml:space="preserve">ev.p4.bless_sun_for_overflow</x:t>
        </x:is>
      </x:c>
      <x:c r="I46" s="15" t="inlineStr">
        <x:is>
          <x:t xml:space="preserve">благословение солнца за избыток</x:t>
        </x:is>
      </x:c>
      <x:c r="J46" s="15" t="inlineStr">
        <x:is>
          <x:t xml:space="preserve">event</x:t>
        </x:is>
      </x:c>
      <x:c r="K46" s="15" t="inlineStr">
        <x:is>
          <x:t xml:space="preserve">source_linked</x:t>
        </x:is>
      </x:c>
      <x:c r="L46" s="15" t="inlineStr">
        <x:is>
          <x:t xml:space="preserve">1,1,1,4</x:t>
        </x:is>
      </x:c>
      <x:c r="M46" s="15" t="inlineStr">
        <x:is>
          <x:t xml:space="preserve"/>
        </x:is>
      </x:c>
      <x:c r="N46" s="15" t="n">
        <x:v>4</x:v>
      </x:c>
      <x:c r="O46" s="15" t="n">
        <x:v>4</x:v>
      </x:c>
      <x:c r="P46" s="15" t="inlineStr">
        <x:is>
          <x:t xml:space="preserve">[4]</x:t>
        </x:is>
      </x:c>
      <x:c r="Q46" s="15" t="inlineStr">
        <x:is>
          <x:t xml:space="preserve">|p4|</x:t>
        </x:is>
      </x:c>
      <x:c r="R46" s="15" t="inlineStr">
        <x:is>
          <x:t xml:space="preserve">seg.1.1.1.4</x:t>
        </x:is>
      </x:c>
      <x:c r="S46" s="15" t="inlineStr">
        <x:is>
          <x:t xml:space="preserve">de+ru+en</x:t>
        </x:is>
      </x:c>
      <x:c r="T46" s="15" t="inlineStr">
        <x:is>
          <x:t xml:space="preserve">local_chain</x:t>
        </x:is>
      </x:c>
      <x:c r="U46" s="15" t="inlineStr">
        <x:is>
          <x:t xml:space="preserve"/>
        </x:is>
      </x:c>
    </x:row>
    <x:row r="47" ht="30" customHeight="1">
      <x:c r="A47" s="15" t="inlineStr">
        <x:is>
          <x:t xml:space="preserve">m036</x:t>
        </x:is>
      </x:c>
      <x:c r="B47" s="15" t="inlineStr">
        <x:is>
          <x:t xml:space="preserve">source_edge</x:t>
        </x:is>
      </x:c>
      <x:c r="C47" s="15" t="inlineStr">
        <x:is>
          <x:t xml:space="preserve">ev.p4.bless_sun_for_overflow</x:t>
        </x:is>
      </x:c>
      <x:c r="D47" s="15" t="inlineStr">
        <x:is>
          <x:t xml:space="preserve">благословение солнца за избыток</x:t>
        </x:is>
      </x:c>
      <x:c r="E47" s="15" t="inlineStr">
        <x:is>
          <x:t xml:space="preserve">event</x:t>
        </x:is>
      </x:c>
      <x:c r="F47" s="15" t="inlineStr">
        <x:is>
          <x:t xml:space="preserve">blesses</x:t>
        </x:is>
      </x:c>
      <x:c r="G47" s="15" t="inlineStr">
        <x:is>
          <x:t xml:space="preserve">благословляет</x:t>
        </x:is>
      </x:c>
      <x:c r="H47" s="15" t="inlineStr">
        <x:is>
          <x:t xml:space="preserve">n.sun</x:t>
        </x:is>
      </x:c>
      <x:c r="I47" s="15" t="inlineStr">
        <x:is>
          <x:t xml:space="preserve">солнце / великое светило</x:t>
        </x:is>
      </x:c>
      <x:c r="J47" s="15" t="inlineStr">
        <x:is>
          <x:t xml:space="preserve">cosmic_entity</x:t>
        </x:is>
      </x:c>
      <x:c r="K47" s="15" t="inlineStr">
        <x:is>
          <x:t xml:space="preserve">source_linked</x:t>
        </x:is>
      </x:c>
      <x:c r="L47" s="15" t="inlineStr">
        <x:is>
          <x:t xml:space="preserve">1,1,1,4</x:t>
        </x:is>
      </x:c>
      <x:c r="M47" s="15" t="inlineStr">
        <x:is>
          <x:t xml:space="preserve"/>
        </x:is>
      </x:c>
      <x:c r="N47" s="15" t="n">
        <x:v>4</x:v>
      </x:c>
      <x:c r="O47" s="15" t="n">
        <x:v>4</x:v>
      </x:c>
      <x:c r="P47" s="15" t="inlineStr">
        <x:is>
          <x:t xml:space="preserve">[4]</x:t>
        </x:is>
      </x:c>
      <x:c r="Q47" s="15" t="inlineStr">
        <x:is>
          <x:t xml:space="preserve">|p4|</x:t>
        </x:is>
      </x:c>
      <x:c r="R47" s="15" t="inlineStr">
        <x:is>
          <x:t xml:space="preserve">seg.1.1.1.4</x:t>
        </x:is>
      </x:c>
      <x:c r="S47" s="15" t="inlineStr">
        <x:is>
          <x:t xml:space="preserve">de+ru+en</x:t>
        </x:is>
      </x:c>
      <x:c r="T47" s="15" t="inlineStr">
        <x:is>
          <x:t xml:space="preserve">local_chain</x:t>
        </x:is>
      </x:c>
      <x:c r="U47" s="15" t="inlineStr">
        <x:is>
          <x:t xml:space="preserve"/>
        </x:is>
      </x:c>
    </x:row>
    <x:row r="48" ht="30" customHeight="1">
      <x:c r="A48" s="15" t="inlineStr">
        <x:is>
          <x:t xml:space="preserve">m037</x:t>
        </x:is>
      </x:c>
      <x:c r="B48" s="15" t="inlineStr">
        <x:is>
          <x:t xml:space="preserve">source_edge</x:t>
        </x:is>
      </x:c>
      <x:c r="C48" s="15" t="inlineStr">
        <x:is>
          <x:t xml:space="preserve">ev.p4.bless_sun_for_overflow</x:t>
        </x:is>
      </x:c>
      <x:c r="D48" s="15" t="inlineStr">
        <x:is>
          <x:t xml:space="preserve">благословение солнца за избыток</x:t>
        </x:is>
      </x:c>
      <x:c r="E48" s="15" t="inlineStr">
        <x:is>
          <x:t xml:space="preserve">event</x:t>
        </x:is>
      </x:c>
      <x:c r="F48" s="15" t="inlineStr">
        <x:is>
          <x:t xml:space="preserve">for</x:t>
        </x:is>
      </x:c>
      <x:c r="G48" s="15" t="inlineStr">
        <x:is>
          <x:t xml:space="preserve">за / по причине</x:t>
        </x:is>
      </x:c>
      <x:c r="H48" s="15" t="inlineStr">
        <x:is>
          <x:t xml:space="preserve">n.overflow</x:t>
        </x:is>
      </x:c>
      <x:c r="I48" s="15" t="inlineStr">
        <x:is>
          <x:t xml:space="preserve">избыток / overflow</x:t>
        </x:is>
      </x:c>
      <x:c r="J48" s="15" t="inlineStr">
        <x:is>
          <x:t xml:space="preserve">abundance</x:t>
        </x:is>
      </x:c>
      <x:c r="K48" s="15" t="inlineStr">
        <x:is>
          <x:t xml:space="preserve">source_linked</x:t>
        </x:is>
      </x:c>
      <x:c r="L48" s="15" t="inlineStr">
        <x:is>
          <x:t xml:space="preserve">1,1,1,4</x:t>
        </x:is>
      </x:c>
      <x:c r="M48" s="15" t="inlineStr">
        <x:is>
          <x:t xml:space="preserve"/>
        </x:is>
      </x:c>
      <x:c r="N48" s="15" t="n">
        <x:v>4</x:v>
      </x:c>
      <x:c r="O48" s="15" t="n">
        <x:v>4</x:v>
      </x:c>
      <x:c r="P48" s="15" t="inlineStr">
        <x:is>
          <x:t xml:space="preserve">[4]</x:t>
        </x:is>
      </x:c>
      <x:c r="Q48" s="15" t="inlineStr">
        <x:is>
          <x:t xml:space="preserve">|p4|</x:t>
        </x:is>
      </x:c>
      <x:c r="R48" s="15" t="inlineStr">
        <x:is>
          <x:t xml:space="preserve">seg.1.1.1.4</x:t>
        </x:is>
      </x:c>
      <x:c r="S48" s="15" t="inlineStr">
        <x:is>
          <x:t xml:space="preserve">de+ru+en</x:t>
        </x:is>
      </x:c>
      <x:c r="T48" s="15" t="inlineStr">
        <x:is>
          <x:t xml:space="preserve">local_chain</x:t>
        </x:is>
      </x:c>
      <x:c r="U48" s="15" t="inlineStr">
        <x:is>
          <x:t xml:space="preserve"/>
        </x:is>
      </x:c>
    </x:row>
    <x:row r="49" ht="30" customHeight="1">
      <x:c r="A49" s="16" t="inlineStr">
        <x:is>
          <x:t xml:space="preserve">m038</x:t>
        </x:is>
      </x:c>
      <x:c r="B49" s="16" t="inlineStr">
        <x:is>
          <x:t xml:space="preserve">bridge_edge</x:t>
        </x:is>
      </x:c>
      <x:c r="C49" s="16" t="inlineStr">
        <x:is>
          <x:t xml:space="preserve">ev.p4.receive_overflow_from_sun</x:t>
        </x:is>
      </x:c>
      <x:c r="D49" s="16" t="inlineStr">
        <x:is>
          <x:t xml:space="preserve">принятие избытка солнца</x:t>
        </x:is>
      </x:c>
      <x:c r="E49" s="16" t="inlineStr">
        <x:is>
          <x:t xml:space="preserve">event</x:t>
        </x:is>
      </x:c>
      <x:c r="F49" s="16" t="inlineStr">
        <x:is>
          <x:t xml:space="preserve">prefigures</x:t>
        </x:is>
      </x:c>
      <x:c r="G49" s="16" t="inlineStr">
        <x:is>
          <x:t xml:space="preserve">предвосхищает</x:t>
        </x:is>
      </x:c>
      <x:c r="H49" s="16" t="inlineStr">
        <x:is>
          <x:t xml:space="preserve">st.p5.overfull_wisdom</x:t>
        </x:is>
      </x:c>
      <x:c r="I49" s="16" t="inlineStr">
        <x:is>
          <x:t xml:space="preserve">пресыщение мудростью</x:t>
        </x:is>
      </x:c>
      <x:c r="J49" s="16" t="inlineStr">
        <x:is>
          <x:t xml:space="preserve">state</x:t>
        </x:is>
      </x:c>
      <x:c r="K49" s="16" t="inlineStr">
        <x:is>
          <x:t xml:space="preserve">source_linked</x:t>
        </x:is>
      </x:c>
      <x:c r="L49" s="16" t="inlineStr">
        <x:is>
          <x:t xml:space="preserve">1,1,1,4</x:t>
        </x:is>
      </x:c>
      <x:c r="M49" s="16" t="inlineStr">
        <x:is>
          <x:t xml:space="preserve">1,1,1,5</x:t>
        </x:is>
      </x:c>
      <x:c r="N49" s="16" t="n">
        <x:v>4</x:v>
      </x:c>
      <x:c r="O49" s="16" t="n">
        <x:v>5</x:v>
      </x:c>
      <x:c r="P49" s="16" t="inlineStr">
        <x:is>
          <x:t xml:space="preserve">[4]-[5]</x:t>
        </x:is>
      </x:c>
      <x:c r="Q49" s="16" t="inlineStr">
        <x:is>
          <x:t xml:space="preserve">|p4|p5|</x:t>
        </x:is>
      </x:c>
      <x:c r="R49" s="16" t="inlineStr">
        <x:is>
          <x:t xml:space="preserve">seg.1.1.1.4|seg.1.1.1.5</x:t>
        </x:is>
      </x:c>
      <x:c r="S49" s="16" t="inlineStr">
        <x:is>
          <x:t xml:space="preserve">de+ru+en</x:t>
        </x:is>
      </x:c>
      <x:c r="T49" s="16" t="inlineStr">
        <x:is>
          <x:t xml:space="preserve">reasoning_bridge</x:t>
        </x:is>
      </x:c>
      <x:c r="U49" s="16" t="inlineStr">
        <x:is>
          <x:t xml:space="preserve">внешний overflow затем становится внутренним</x:t>
        </x:is>
      </x:c>
    </x:row>
    <x:row r="50" ht="30" customHeight="1">
      <x:c r="A50" s="15" t="inlineStr">
        <x:is>
          <x:t xml:space="preserve">m039</x:t>
        </x:is>
      </x:c>
      <x:c r="B50" s="15" t="inlineStr">
        <x:is>
          <x:t xml:space="preserve">source_edge</x:t>
        </x:is>
      </x:c>
      <x:c r="C50" s="15" t="inlineStr">
        <x:is>
          <x:t xml:space="preserve">n.zarathustra</x:t>
        </x:is>
      </x:c>
      <x:c r="D50" s="15" t="inlineStr">
        <x:is>
          <x:t xml:space="preserve">Заратустра</x:t>
        </x:is>
      </x:c>
      <x:c r="E50" s="15" t="inlineStr">
        <x:is>
          <x:t xml:space="preserve">persona</x:t>
        </x:is>
      </x:c>
      <x:c r="F50" s="15" t="inlineStr">
        <x:is>
          <x:t xml:space="preserve">enters_state</x:t>
        </x:is>
      </x:c>
      <x:c r="G50" s="15" t="inlineStr">
        <x:is>
          <x:t xml:space="preserve">входит в состояние</x:t>
        </x:is>
      </x:c>
      <x:c r="H50" s="15" t="inlineStr">
        <x:is>
          <x:t xml:space="preserve">st.p5.overfull_wisdom</x:t>
        </x:is>
      </x:c>
      <x:c r="I50" s="15" t="inlineStr">
        <x:is>
          <x:t xml:space="preserve">пресыщение мудростью</x:t>
        </x:is>
      </x:c>
      <x:c r="J50" s="15" t="inlineStr">
        <x:is>
          <x:t xml:space="preserve">state</x:t>
        </x:is>
      </x:c>
      <x:c r="K50" s="15" t="inlineStr">
        <x:is>
          <x:t xml:space="preserve">source_linked</x:t>
        </x:is>
      </x:c>
      <x:c r="L50" s="15" t="inlineStr">
        <x:is>
          <x:t xml:space="preserve">1,1,1,5</x:t>
        </x:is>
      </x:c>
      <x:c r="M50" s="15" t="inlineStr">
        <x:is>
          <x:t xml:space="preserve"/>
        </x:is>
      </x:c>
      <x:c r="N50" s="15" t="n">
        <x:v>5</x:v>
      </x:c>
      <x:c r="O50" s="15" t="n">
        <x:v>5</x:v>
      </x:c>
      <x:c r="P50" s="15" t="inlineStr">
        <x:is>
          <x:t xml:space="preserve">[5]</x:t>
        </x:is>
      </x:c>
      <x:c r="Q50" s="15" t="inlineStr">
        <x:is>
          <x:t xml:space="preserve">|p5|</x:t>
        </x:is>
      </x:c>
      <x:c r="R50" s="15" t="inlineStr">
        <x:is>
          <x:t xml:space="preserve">seg.1.1.1.5</x:t>
        </x:is>
      </x:c>
      <x:c r="S50" s="15" t="inlineStr">
        <x:is>
          <x:t xml:space="preserve">de+ru+en</x:t>
        </x:is>
      </x:c>
      <x:c r="T50" s="15" t="inlineStr">
        <x:is>
          <x:t xml:space="preserve">local_chain</x:t>
        </x:is>
      </x:c>
      <x:c r="U50" s="15" t="inlineStr">
        <x:is>
          <x:t xml:space="preserve"/>
        </x:is>
      </x:c>
    </x:row>
    <x:row r="51" ht="30" customHeight="1">
      <x:c r="A51" s="15" t="inlineStr">
        <x:is>
          <x:t xml:space="preserve">m040</x:t>
        </x:is>
      </x:c>
      <x:c r="B51" s="15" t="inlineStr">
        <x:is>
          <x:t xml:space="preserve">source_edge</x:t>
        </x:is>
      </x:c>
      <x:c r="C51" s="15" t="inlineStr">
        <x:is>
          <x:t xml:space="preserve">st.p5.overfull_wisdom</x:t>
        </x:is>
      </x:c>
      <x:c r="D51" s="15" t="inlineStr">
        <x:is>
          <x:t xml:space="preserve">пресыщение мудростью</x:t>
        </x:is>
      </x:c>
      <x:c r="E51" s="15" t="inlineStr">
        <x:is>
          <x:t xml:space="preserve">state</x:t>
        </x:is>
      </x:c>
      <x:c r="F51" s="15" t="inlineStr">
        <x:is>
          <x:t xml:space="preserve">concerns</x:t>
        </x:is>
      </x:c>
      <x:c r="G51" s="15" t="inlineStr">
        <x:is>
          <x:t xml:space="preserve">касается</x:t>
        </x:is>
      </x:c>
      <x:c r="H51" s="15" t="inlineStr">
        <x:is>
          <x:t xml:space="preserve">n.wisdom</x:t>
        </x:is>
      </x:c>
      <x:c r="I51" s="15" t="inlineStr">
        <x:is>
          <x:t xml:space="preserve">мудрость</x:t>
        </x:is>
      </x:c>
      <x:c r="J51" s="15" t="inlineStr">
        <x:is>
          <x:t xml:space="preserve">concept</x:t>
        </x:is>
      </x:c>
      <x:c r="K51" s="15" t="inlineStr">
        <x:is>
          <x:t xml:space="preserve">source_linked</x:t>
        </x:is>
      </x:c>
      <x:c r="L51" s="15" t="inlineStr">
        <x:is>
          <x:t xml:space="preserve">1,1,1,5</x:t>
        </x:is>
      </x:c>
      <x:c r="M51" s="15" t="inlineStr">
        <x:is>
          <x:t xml:space="preserve"/>
        </x:is>
      </x:c>
      <x:c r="N51" s="15" t="n">
        <x:v>5</x:v>
      </x:c>
      <x:c r="O51" s="15" t="n">
        <x:v>5</x:v>
      </x:c>
      <x:c r="P51" s="15" t="inlineStr">
        <x:is>
          <x:t xml:space="preserve">[5]</x:t>
        </x:is>
      </x:c>
      <x:c r="Q51" s="15" t="inlineStr">
        <x:is>
          <x:t xml:space="preserve">|p5|</x:t>
        </x:is>
      </x:c>
      <x:c r="R51" s="15" t="inlineStr">
        <x:is>
          <x:t xml:space="preserve">seg.1.1.1.5</x:t>
        </x:is>
      </x:c>
      <x:c r="S51" s="15" t="inlineStr">
        <x:is>
          <x:t xml:space="preserve">de+ru+en</x:t>
        </x:is>
      </x:c>
      <x:c r="T51" s="15" t="inlineStr">
        <x:is>
          <x:t xml:space="preserve">local_chain</x:t>
        </x:is>
      </x:c>
      <x:c r="U51" s="15" t="inlineStr">
        <x:is>
          <x:t xml:space="preserve"/>
        </x:is>
      </x:c>
    </x:row>
    <x:row r="52" ht="30" customHeight="1">
      <x:c r="A52" s="15" t="inlineStr">
        <x:is>
          <x:t xml:space="preserve">m041</x:t>
        </x:is>
      </x:c>
      <x:c r="B52" s="15" t="inlineStr">
        <x:is>
          <x:t xml:space="preserve">source_edge</x:t>
        </x:is>
      </x:c>
      <x:c r="C52" s="15" t="inlineStr">
        <x:is>
          <x:t xml:space="preserve">ev.p5.bee_honey_analogy</x:t>
        </x:is>
      </x:c>
      <x:c r="D52" s="15" t="inlineStr">
        <x:is>
          <x:t xml:space="preserve">аналогия пчелы и мёда</x:t>
        </x:is>
      </x:c>
      <x:c r="E52" s="15" t="inlineStr">
        <x:is>
          <x:t xml:space="preserve">analogy</x:t>
        </x:is>
      </x:c>
      <x:c r="F52" s="15" t="inlineStr">
        <x:is>
          <x:t xml:space="preserve">compares_state_to</x:t>
        </x:is>
      </x:c>
      <x:c r="G52" s="15" t="inlineStr">
        <x:is>
          <x:t xml:space="preserve">сравнивает состояние с</x:t>
        </x:is>
      </x:c>
      <x:c r="H52" s="15" t="inlineStr">
        <x:is>
          <x:t xml:space="preserve">st.p5.overfull_wisdom</x:t>
        </x:is>
      </x:c>
      <x:c r="I52" s="15" t="inlineStr">
        <x:is>
          <x:t xml:space="preserve">пресыщение мудростью</x:t>
        </x:is>
      </x:c>
      <x:c r="J52" s="15" t="inlineStr">
        <x:is>
          <x:t xml:space="preserve">state</x:t>
        </x:is>
      </x:c>
      <x:c r="K52" s="15" t="inlineStr">
        <x:is>
          <x:t xml:space="preserve">source_linked</x:t>
        </x:is>
      </x:c>
      <x:c r="L52" s="15" t="inlineStr">
        <x:is>
          <x:t xml:space="preserve">1,1,1,5</x:t>
        </x:is>
      </x:c>
      <x:c r="M52" s="15" t="inlineStr">
        <x:is>
          <x:t xml:space="preserve"/>
        </x:is>
      </x:c>
      <x:c r="N52" s="15" t="n">
        <x:v>5</x:v>
      </x:c>
      <x:c r="O52" s="15" t="n">
        <x:v>5</x:v>
      </x:c>
      <x:c r="P52" s="15" t="inlineStr">
        <x:is>
          <x:t xml:space="preserve">[5]</x:t>
        </x:is>
      </x:c>
      <x:c r="Q52" s="15" t="inlineStr">
        <x:is>
          <x:t xml:space="preserve">|p5|</x:t>
        </x:is>
      </x:c>
      <x:c r="R52" s="15" t="inlineStr">
        <x:is>
          <x:t xml:space="preserve">seg.1.1.1.5</x:t>
        </x:is>
      </x:c>
      <x:c r="S52" s="15" t="inlineStr">
        <x:is>
          <x:t xml:space="preserve">de+ru+en</x:t>
        </x:is>
      </x:c>
      <x:c r="T52" s="15" t="inlineStr">
        <x:is>
          <x:t xml:space="preserve">local_chain</x:t>
        </x:is>
      </x:c>
      <x:c r="U52" s="15" t="inlineStr">
        <x:is>
          <x:t xml:space="preserve">образ удерживает логику накопления</x:t>
        </x:is>
      </x:c>
    </x:row>
    <x:row r="53" ht="30" customHeight="1">
      <x:c r="A53" s="15" t="inlineStr">
        <x:is>
          <x:t xml:space="preserve">m042</x:t>
        </x:is>
      </x:c>
      <x:c r="B53" s="15" t="inlineStr">
        <x:is>
          <x:t xml:space="preserve">source_edge</x:t>
        </x:is>
      </x:c>
      <x:c r="C53" s="15" t="inlineStr">
        <x:is>
          <x:t xml:space="preserve">ev.p5.bee_honey_analogy</x:t>
        </x:is>
      </x:c>
      <x:c r="D53" s="15" t="inlineStr">
        <x:is>
          <x:t xml:space="preserve">аналогия пчелы и мёда</x:t>
        </x:is>
      </x:c>
      <x:c r="E53" s="15" t="inlineStr">
        <x:is>
          <x:t xml:space="preserve">analogy</x:t>
        </x:is>
      </x:c>
      <x:c r="F53" s="15" t="inlineStr">
        <x:is>
          <x:t xml:space="preserve">uses_image_of</x:t>
        </x:is>
      </x:c>
      <x:c r="G53" s="15" t="inlineStr">
        <x:is>
          <x:t xml:space="preserve">использует образ</x:t>
        </x:is>
      </x:c>
      <x:c r="H53" s="15" t="inlineStr">
        <x:is>
          <x:t xml:space="preserve">n.bee</x:t>
        </x:is>
      </x:c>
      <x:c r="I53" s="15" t="inlineStr">
        <x:is>
          <x:t xml:space="preserve">пчела</x:t>
        </x:is>
      </x:c>
      <x:c r="J53" s="15" t="inlineStr">
        <x:is>
          <x:t xml:space="preserve">analogy-animal</x:t>
        </x:is>
      </x:c>
      <x:c r="K53" s="15" t="inlineStr">
        <x:is>
          <x:t xml:space="preserve">source_linked</x:t>
        </x:is>
      </x:c>
      <x:c r="L53" s="15" t="inlineStr">
        <x:is>
          <x:t xml:space="preserve">1,1,1,5</x:t>
        </x:is>
      </x:c>
      <x:c r="M53" s="15" t="inlineStr">
        <x:is>
          <x:t xml:space="preserve"/>
        </x:is>
      </x:c>
      <x:c r="N53" s="15" t="n">
        <x:v>5</x:v>
      </x:c>
      <x:c r="O53" s="15" t="n">
        <x:v>5</x:v>
      </x:c>
      <x:c r="P53" s="15" t="inlineStr">
        <x:is>
          <x:t xml:space="preserve">[5]</x:t>
        </x:is>
      </x:c>
      <x:c r="Q53" s="15" t="inlineStr">
        <x:is>
          <x:t xml:space="preserve">|p5|</x:t>
        </x:is>
      </x:c>
      <x:c r="R53" s="15" t="inlineStr">
        <x:is>
          <x:t xml:space="preserve">seg.1.1.1.5</x:t>
        </x:is>
      </x:c>
      <x:c r="S53" s="15" t="inlineStr">
        <x:is>
          <x:t xml:space="preserve">de+ru+en</x:t>
        </x:is>
      </x:c>
      <x:c r="T53" s="15" t="inlineStr">
        <x:is>
          <x:t xml:space="preserve">local_chain</x:t>
        </x:is>
      </x:c>
      <x:c r="U53" s="15" t="inlineStr">
        <x:is>
          <x:t xml:space="preserve"/>
        </x:is>
      </x:c>
    </x:row>
    <x:row r="54" ht="30" customHeight="1">
      <x:c r="A54" s="15" t="inlineStr">
        <x:is>
          <x:t xml:space="preserve">m043</x:t>
        </x:is>
      </x:c>
      <x:c r="B54" s="15" t="inlineStr">
        <x:is>
          <x:t xml:space="preserve">source_edge</x:t>
        </x:is>
      </x:c>
      <x:c r="C54" s="15" t="inlineStr">
        <x:is>
          <x:t xml:space="preserve">n.bee</x:t>
        </x:is>
      </x:c>
      <x:c r="D54" s="15" t="inlineStr">
        <x:is>
          <x:t xml:space="preserve">пчела</x:t>
        </x:is>
      </x:c>
      <x:c r="E54" s="15" t="inlineStr">
        <x:is>
          <x:t xml:space="preserve">analogy-animal</x:t>
        </x:is>
      </x:c>
      <x:c r="F54" s="15" t="inlineStr">
        <x:is>
          <x:t xml:space="preserve">gathers</x:t>
        </x:is>
      </x:c>
      <x:c r="G54" s="15" t="inlineStr">
        <x:is>
          <x:t xml:space="preserve">собирает</x:t>
        </x:is>
      </x:c>
      <x:c r="H54" s="15" t="inlineStr">
        <x:is>
          <x:t xml:space="preserve">n.honey</x:t>
        </x:is>
      </x:c>
      <x:c r="I54" s="15" t="inlineStr">
        <x:is>
          <x:t xml:space="preserve">мёд</x:t>
        </x:is>
      </x:c>
      <x:c r="J54" s="15" t="inlineStr">
        <x:is>
          <x:t xml:space="preserve">substance</x:t>
        </x:is>
      </x:c>
      <x:c r="K54" s="15" t="inlineStr">
        <x:is>
          <x:t xml:space="preserve">source_linked</x:t>
        </x:is>
      </x:c>
      <x:c r="L54" s="15" t="inlineStr">
        <x:is>
          <x:t xml:space="preserve">1,1,1,5</x:t>
        </x:is>
      </x:c>
      <x:c r="M54" s="15" t="inlineStr">
        <x:is>
          <x:t xml:space="preserve"/>
        </x:is>
      </x:c>
      <x:c r="N54" s="15" t="n">
        <x:v>5</x:v>
      </x:c>
      <x:c r="O54" s="15" t="n">
        <x:v>5</x:v>
      </x:c>
      <x:c r="P54" s="15" t="inlineStr">
        <x:is>
          <x:t xml:space="preserve">[5]</x:t>
        </x:is>
      </x:c>
      <x:c r="Q54" s="15" t="inlineStr">
        <x:is>
          <x:t xml:space="preserve">|p5|</x:t>
        </x:is>
      </x:c>
      <x:c r="R54" s="15" t="inlineStr">
        <x:is>
          <x:t xml:space="preserve">seg.1.1.1.5</x:t>
        </x:is>
      </x:c>
      <x:c r="S54" s="15" t="inlineStr">
        <x:is>
          <x:t xml:space="preserve">de+ru+en</x:t>
        </x:is>
      </x:c>
      <x:c r="T54" s="15" t="inlineStr">
        <x:is>
          <x:t xml:space="preserve">local_chain</x:t>
        </x:is>
      </x:c>
      <x:c r="U54" s="15" t="inlineStr">
        <x:is>
          <x:t xml:space="preserve"/>
        </x:is>
      </x:c>
    </x:row>
    <x:row r="55" ht="30" customHeight="1">
      <x:c r="A55" s="15" t="inlineStr">
        <x:is>
          <x:t xml:space="preserve">m044</x:t>
        </x:is>
      </x:c>
      <x:c r="B55" s="15" t="inlineStr">
        <x:is>
          <x:t xml:space="preserve">source_edge</x:t>
        </x:is>
      </x:c>
      <x:c r="C55" s="15" t="inlineStr">
        <x:is>
          <x:t xml:space="preserve">n.honey</x:t>
        </x:is>
      </x:c>
      <x:c r="D55" s="15" t="inlineStr">
        <x:is>
          <x:t xml:space="preserve">мёд</x:t>
        </x:is>
      </x:c>
      <x:c r="E55" s="15" t="inlineStr">
        <x:is>
          <x:t xml:space="preserve">substance</x:t>
        </x:is>
      </x:c>
      <x:c r="F55" s="15" t="inlineStr">
        <x:is>
          <x:t xml:space="preserve">has_quantity</x:t>
        </x:is>
      </x:c>
      <x:c r="G55" s="15" t="inlineStr">
        <x:is>
          <x:t xml:space="preserve">имеет количество</x:t>
        </x:is>
      </x:c>
      <x:c r="H55" s="15" t="inlineStr">
        <x:is>
          <x:t xml:space="preserve">literal.too_much</x:t>
        </x:is>
      </x:c>
      <x:c r="I55" s="15" t="inlineStr">
        <x:is>
          <x:t xml:space="preserve">слишком много</x:t>
        </x:is>
      </x:c>
      <x:c r="J55" s="15" t="inlineStr">
        <x:is>
          <x:t xml:space="preserve">literal</x:t>
        </x:is>
      </x:c>
      <x:c r="K55" s="15" t="inlineStr">
        <x:is>
          <x:t xml:space="preserve">source_linked</x:t>
        </x:is>
      </x:c>
      <x:c r="L55" s="15" t="inlineStr">
        <x:is>
          <x:t xml:space="preserve">1,1,1,5</x:t>
        </x:is>
      </x:c>
      <x:c r="M55" s="15" t="inlineStr">
        <x:is>
          <x:t xml:space="preserve"/>
        </x:is>
      </x:c>
      <x:c r="N55" s="15" t="n">
        <x:v>5</x:v>
      </x:c>
      <x:c r="O55" s="15" t="n">
        <x:v>5</x:v>
      </x:c>
      <x:c r="P55" s="15" t="inlineStr">
        <x:is>
          <x:t xml:space="preserve">[5]</x:t>
        </x:is>
      </x:c>
      <x:c r="Q55" s="15" t="inlineStr">
        <x:is>
          <x:t xml:space="preserve">|p5|</x:t>
        </x:is>
      </x:c>
      <x:c r="R55" s="15" t="inlineStr">
        <x:is>
          <x:t xml:space="preserve">seg.1.1.1.5</x:t>
        </x:is>
      </x:c>
      <x:c r="S55" s="15" t="inlineStr">
        <x:is>
          <x:t xml:space="preserve">de+ru+en</x:t>
        </x:is>
      </x:c>
      <x:c r="T55" s="15" t="inlineStr">
        <x:is>
          <x:t xml:space="preserve">local_chain</x:t>
        </x:is>
      </x:c>
      <x:c r="U55" s="15" t="inlineStr">
        <x:is>
          <x:t xml:space="preserve"/>
        </x:is>
      </x:c>
    </x:row>
    <x:row r="56" ht="30" customHeight="1">
      <x:c r="A56" s="16" t="inlineStr">
        <x:is>
          <x:t xml:space="preserve">m045</x:t>
        </x:is>
      </x:c>
      <x:c r="B56" s="16" t="inlineStr">
        <x:is>
          <x:t xml:space="preserve">bridge_edge</x:t>
        </x:is>
      </x:c>
      <x:c r="C56" s="16" t="inlineStr">
        <x:is>
          <x:t xml:space="preserve">st.p5.overfull_wisdom</x:t>
        </x:is>
      </x:c>
      <x:c r="D56" s="16" t="inlineStr">
        <x:is>
          <x:t xml:space="preserve">пресыщение мудростью</x:t>
        </x:is>
      </x:c>
      <x:c r="E56" s="16" t="inlineStr">
        <x:is>
          <x:t xml:space="preserve">state</x:t>
        </x:is>
      </x:c>
      <x:c r="F56" s="16" t="inlineStr">
        <x:is>
          <x:t xml:space="preserve">leads_to</x:t>
        </x:is>
      </x:c>
      <x:c r="G56" s="16" t="inlineStr">
        <x:is>
          <x:t xml:space="preserve">ведёт к</x:t>
        </x:is>
      </x:c>
      <x:c r="H56" s="16" t="inlineStr">
        <x:is>
          <x:t xml:space="preserve">ev.p5_6.need_hands_for_giving</x:t>
        </x:is>
      </x:c>
      <x:c r="I56" s="16" t="inlineStr">
        <x:is>
          <x:t xml:space="preserve">нужда в простёртых руках ради дара</x:t>
        </x:is>
      </x:c>
      <x:c r="J56" s="16" t="inlineStr">
        <x:is>
          <x:t xml:space="preserve">event</x:t>
        </x:is>
      </x:c>
      <x:c r="K56" s="16" t="inlineStr">
        <x:is>
          <x:t xml:space="preserve">source_linked</x:t>
        </x:is>
      </x:c>
      <x:c r="L56" s="16" t="inlineStr">
        <x:is>
          <x:t xml:space="preserve">1,1,1,5</x:t>
        </x:is>
      </x:c>
      <x:c r="M56" s="16" t="inlineStr">
        <x:is>
          <x:t xml:space="preserve">1,1,1,6</x:t>
        </x:is>
      </x:c>
      <x:c r="N56" s="16" t="n">
        <x:v>5</x:v>
      </x:c>
      <x:c r="O56" s="16" t="n">
        <x:v>6</x:v>
      </x:c>
      <x:c r="P56" s="16" t="inlineStr">
        <x:is>
          <x:t xml:space="preserve">[5]-[6]</x:t>
        </x:is>
      </x:c>
      <x:c r="Q56" s="16" t="inlineStr">
        <x:is>
          <x:t xml:space="preserve">|p5|p6|</x:t>
        </x:is>
      </x:c>
      <x:c r="R56" s="16" t="inlineStr">
        <x:is>
          <x:t xml:space="preserve">seg.1.1.1.5|seg.1.1.1.6</x:t>
        </x:is>
      </x:c>
      <x:c r="S56" s="16" t="inlineStr">
        <x:is>
          <x:t xml:space="preserve">de+ru+en</x:t>
        </x:is>
      </x:c>
      <x:c r="T56" s="16" t="inlineStr">
        <x:is>
          <x:t xml:space="preserve">multi_anchor</x:t>
        </x:is>
      </x:c>
      <x:c r="U56" s="16" t="inlineStr">
        <x:is>
          <x:t xml:space="preserve">избыток ищет адресата</x:t>
        </x:is>
      </x:c>
    </x:row>
    <x:row r="57" ht="30" customHeight="1">
      <x:c r="A57" s="15" t="inlineStr">
        <x:is>
          <x:t xml:space="preserve">m046</x:t>
        </x:is>
      </x:c>
      <x:c r="B57" s="15" t="inlineStr">
        <x:is>
          <x:t xml:space="preserve">source_edge</x:t>
        </x:is>
      </x:c>
      <x:c r="C57" s="15" t="inlineStr">
        <x:is>
          <x:t xml:space="preserve">n.zarathustra</x:t>
        </x:is>
      </x:c>
      <x:c r="D57" s="15" t="inlineStr">
        <x:is>
          <x:t xml:space="preserve">Заратустра</x:t>
        </x:is>
      </x:c>
      <x:c r="E57" s="15" t="inlineStr">
        <x:is>
          <x:t xml:space="preserve">persona</x:t>
        </x:is>
      </x:c>
      <x:c r="F57" s="15" t="inlineStr">
        <x:is>
          <x:t xml:space="preserve">performs</x:t>
        </x:is>
      </x:c>
      <x:c r="G57" s="15" t="inlineStr">
        <x:is>
          <x:t xml:space="preserve">совершает</x:t>
        </x:is>
      </x:c>
      <x:c r="H57" s="15" t="inlineStr">
        <x:is>
          <x:t xml:space="preserve">ev.p5_6.need_hands_for_giving</x:t>
        </x:is>
      </x:c>
      <x:c r="I57" s="15" t="inlineStr">
        <x:is>
          <x:t xml:space="preserve">нужда в простёртых руках ради дара</x:t>
        </x:is>
      </x:c>
      <x:c r="J57" s="15" t="inlineStr">
        <x:is>
          <x:t xml:space="preserve">event</x:t>
        </x:is>
      </x:c>
      <x:c r="K57" s="15" t="inlineStr">
        <x:is>
          <x:t xml:space="preserve">source_linked</x:t>
        </x:is>
      </x:c>
      <x:c r="L57" s="15" t="inlineStr">
        <x:is>
          <x:t xml:space="preserve">1,1,1,5</x:t>
        </x:is>
      </x:c>
      <x:c r="M57" s="15" t="inlineStr">
        <x:is>
          <x:t xml:space="preserve">1,1,1,6</x:t>
        </x:is>
      </x:c>
      <x:c r="N57" s="15" t="n">
        <x:v>5</x:v>
      </x:c>
      <x:c r="O57" s="15" t="n">
        <x:v>6</x:v>
      </x:c>
      <x:c r="P57" s="15" t="inlineStr">
        <x:is>
          <x:t xml:space="preserve">[5]-[6]</x:t>
        </x:is>
      </x:c>
      <x:c r="Q57" s="15" t="inlineStr">
        <x:is>
          <x:t xml:space="preserve">|p5|p6|</x:t>
        </x:is>
      </x:c>
      <x:c r="R57" s="15" t="inlineStr">
        <x:is>
          <x:t xml:space="preserve">seg.1.1.1.5|seg.1.1.1.6</x:t>
        </x:is>
      </x:c>
      <x:c r="S57" s="15" t="inlineStr">
        <x:is>
          <x:t xml:space="preserve">de+ru+en</x:t>
        </x:is>
      </x:c>
      <x:c r="T57" s="15" t="inlineStr">
        <x:is>
          <x:t xml:space="preserve">multi_anchor</x:t>
        </x:is>
      </x:c>
      <x:c r="U57" s="15" t="inlineStr">
        <x:is>
          <x:t xml:space="preserve"/>
        </x:is>
      </x:c>
    </x:row>
    <x:row r="58" ht="30" customHeight="1">
      <x:c r="A58" s="15" t="inlineStr">
        <x:is>
          <x:t xml:space="preserve">m047</x:t>
        </x:is>
      </x:c>
      <x:c r="B58" s="15" t="inlineStr">
        <x:is>
          <x:t xml:space="preserve">source_edge</x:t>
        </x:is>
      </x:c>
      <x:c r="C58" s="15" t="inlineStr">
        <x:is>
          <x:t xml:space="preserve">ev.p5_6.need_hands_for_giving</x:t>
        </x:is>
      </x:c>
      <x:c r="D58" s="15" t="inlineStr">
        <x:is>
          <x:t xml:space="preserve">нужда в простёртых руках ради дара</x:t>
        </x:is>
      </x:c>
      <x:c r="E58" s="15" t="inlineStr">
        <x:is>
          <x:t xml:space="preserve">event</x:t>
        </x:is>
      </x:c>
      <x:c r="F58" s="15" t="inlineStr">
        <x:is>
          <x:t xml:space="preserve">requires</x:t>
        </x:is>
      </x:c>
      <x:c r="G58" s="15" t="inlineStr">
        <x:is>
          <x:t xml:space="preserve">требует</x:t>
        </x:is>
      </x:c>
      <x:c r="H58" s="15" t="inlineStr">
        <x:is>
          <x:t xml:space="preserve">n.outstretched_hands</x:t>
        </x:is>
      </x:c>
      <x:c r="I58" s="15" t="inlineStr">
        <x:is>
          <x:t xml:space="preserve">простёртые руки</x:t>
        </x:is>
      </x:c>
      <x:c r="J58" s="15" t="inlineStr">
        <x:is>
          <x:t xml:space="preserve">recipient-interface</x:t>
        </x:is>
      </x:c>
      <x:c r="K58" s="15" t="inlineStr">
        <x:is>
          <x:t xml:space="preserve">source_linked</x:t>
        </x:is>
      </x:c>
      <x:c r="L58" s="15" t="inlineStr">
        <x:is>
          <x:t xml:space="preserve">1,1,1,5</x:t>
        </x:is>
      </x:c>
      <x:c r="M58" s="15" t="inlineStr">
        <x:is>
          <x:t xml:space="preserve">1,1,1,6</x:t>
        </x:is>
      </x:c>
      <x:c r="N58" s="15" t="n">
        <x:v>5</x:v>
      </x:c>
      <x:c r="O58" s="15" t="n">
        <x:v>6</x:v>
      </x:c>
      <x:c r="P58" s="15" t="inlineStr">
        <x:is>
          <x:t xml:space="preserve">[5]-[6]</x:t>
        </x:is>
      </x:c>
      <x:c r="Q58" s="15" t="inlineStr">
        <x:is>
          <x:t xml:space="preserve">|p5|p6|</x:t>
        </x:is>
      </x:c>
      <x:c r="R58" s="15" t="inlineStr">
        <x:is>
          <x:t xml:space="preserve">seg.1.1.1.5|seg.1.1.1.6</x:t>
        </x:is>
      </x:c>
      <x:c r="S58" s="15" t="inlineStr">
        <x:is>
          <x:t xml:space="preserve">de+ru+en</x:t>
        </x:is>
      </x:c>
      <x:c r="T58" s="15" t="inlineStr">
        <x:is>
          <x:t xml:space="preserve">multi_anchor</x:t>
        </x:is>
      </x:c>
      <x:c r="U58" s="15" t="inlineStr">
        <x:is>
          <x:t xml:space="preserve"/>
        </x:is>
      </x:c>
    </x:row>
    <x:row r="59" ht="30" customHeight="1">
      <x:c r="A59" s="15" t="inlineStr">
        <x:is>
          <x:t xml:space="preserve">m048</x:t>
        </x:is>
      </x:c>
      <x:c r="B59" s="15" t="inlineStr">
        <x:is>
          <x:t xml:space="preserve">source_edge</x:t>
        </x:is>
      </x:c>
      <x:c r="C59" s="15" t="inlineStr">
        <x:is>
          <x:t xml:space="preserve">ev.p5_6.need_hands_for_giving</x:t>
        </x:is>
      </x:c>
      <x:c r="D59" s="15" t="inlineStr">
        <x:is>
          <x:t xml:space="preserve">нужда в простёртых руках ради дара</x:t>
        </x:is>
      </x:c>
      <x:c r="E59" s="15" t="inlineStr">
        <x:is>
          <x:t xml:space="preserve">event</x:t>
        </x:is>
      </x:c>
      <x:c r="F59" s="15" t="inlineStr">
        <x:is>
          <x:t xml:space="preserve">motivated_by</x:t>
        </x:is>
      </x:c>
      <x:c r="G59" s="15" t="inlineStr">
        <x:is>
          <x:t xml:space="preserve">движимо</x:t>
        </x:is>
      </x:c>
      <x:c r="H59" s="15" t="inlineStr">
        <x:is>
          <x:t xml:space="preserve">st.p5.overfull_wisdom</x:t>
        </x:is>
      </x:c>
      <x:c r="I59" s="15" t="inlineStr">
        <x:is>
          <x:t xml:space="preserve">пресыщение мудростью</x:t>
        </x:is>
      </x:c>
      <x:c r="J59" s="15" t="inlineStr">
        <x:is>
          <x:t xml:space="preserve">state</x:t>
        </x:is>
      </x:c>
      <x:c r="K59" s="15" t="inlineStr">
        <x:is>
          <x:t xml:space="preserve">source_linked</x:t>
        </x:is>
      </x:c>
      <x:c r="L59" s="15" t="inlineStr">
        <x:is>
          <x:t xml:space="preserve">1,1,1,5</x:t>
        </x:is>
      </x:c>
      <x:c r="M59" s="15" t="inlineStr">
        <x:is>
          <x:t xml:space="preserve">1,1,1,6</x:t>
        </x:is>
      </x:c>
      <x:c r="N59" s="15" t="n">
        <x:v>5</x:v>
      </x:c>
      <x:c r="O59" s="15" t="n">
        <x:v>6</x:v>
      </x:c>
      <x:c r="P59" s="15" t="inlineStr">
        <x:is>
          <x:t xml:space="preserve">[5]-[6]</x:t>
        </x:is>
      </x:c>
      <x:c r="Q59" s="15" t="inlineStr">
        <x:is>
          <x:t xml:space="preserve">|p5|p6|</x:t>
        </x:is>
      </x:c>
      <x:c r="R59" s="15" t="inlineStr">
        <x:is>
          <x:t xml:space="preserve">seg.1.1.1.5|seg.1.1.1.6</x:t>
        </x:is>
      </x:c>
      <x:c r="S59" s="15" t="inlineStr">
        <x:is>
          <x:t xml:space="preserve">de+ru+en</x:t>
        </x:is>
      </x:c>
      <x:c r="T59" s="15" t="inlineStr">
        <x:is>
          <x:t xml:space="preserve">multi_anchor</x:t>
        </x:is>
      </x:c>
      <x:c r="U59" s="15" t="inlineStr">
        <x:is>
          <x:t xml:space="preserve"/>
        </x:is>
      </x:c>
    </x:row>
    <x:row r="60" ht="30" customHeight="1">
      <x:c r="A60" s="15" t="inlineStr">
        <x:is>
          <x:t xml:space="preserve">m049</x:t>
        </x:is>
      </x:c>
      <x:c r="B60" s="15" t="inlineStr">
        <x:is>
          <x:t xml:space="preserve">source_edge</x:t>
        </x:is>
      </x:c>
      <x:c r="C60" s="15" t="inlineStr">
        <x:is>
          <x:t xml:space="preserve">n.zarathustra</x:t>
        </x:is>
      </x:c>
      <x:c r="D60" s="15" t="inlineStr">
        <x:is>
          <x:t xml:space="preserve">Заратустра</x:t>
        </x:is>
      </x:c>
      <x:c r="E60" s="15" t="inlineStr">
        <x:is>
          <x:t xml:space="preserve">persona</x:t>
        </x:is>
      </x:c>
      <x:c r="F60" s="15" t="inlineStr">
        <x:is>
          <x:t xml:space="preserve">performs</x:t>
        </x:is>
      </x:c>
      <x:c r="G60" s="15" t="inlineStr">
        <x:is>
          <x:t xml:space="preserve">совершает</x:t>
        </x:is>
      </x:c>
      <x:c r="H60" s="15" t="inlineStr">
        <x:is>
          <x:t xml:space="preserve">ev.p6.bestow_and_distribute</x:t>
        </x:is>
      </x:c>
      <x:c r="I60" s="15" t="inlineStr">
        <x:is>
          <x:t xml:space="preserve">одаривать и раздавать</x:t>
        </x:is>
      </x:c>
      <x:c r="J60" s="15" t="inlineStr">
        <x:is>
          <x:t xml:space="preserve">event</x:t>
        </x:is>
      </x:c>
      <x:c r="K60" s="15" t="inlineStr">
        <x:is>
          <x:t xml:space="preserve">source_linked</x:t>
        </x:is>
      </x:c>
      <x:c r="L60" s="15" t="inlineStr">
        <x:is>
          <x:t xml:space="preserve">1,1,1,6</x:t>
        </x:is>
      </x:c>
      <x:c r="M60" s="15" t="inlineStr">
        <x:is>
          <x:t xml:space="preserve"/>
        </x:is>
      </x:c>
      <x:c r="N60" s="15" t="n">
        <x:v>6</x:v>
      </x:c>
      <x:c r="O60" s="15" t="n">
        <x:v>6</x:v>
      </x:c>
      <x:c r="P60" s="15" t="inlineStr">
        <x:is>
          <x:t xml:space="preserve">[6]</x:t>
        </x:is>
      </x:c>
      <x:c r="Q60" s="15" t="inlineStr">
        <x:is>
          <x:t xml:space="preserve">|p6|</x:t>
        </x:is>
      </x:c>
      <x:c r="R60" s="15" t="inlineStr">
        <x:is>
          <x:t xml:space="preserve">seg.1.1.1.6</x:t>
        </x:is>
      </x:c>
      <x:c r="S60" s="15" t="inlineStr">
        <x:is>
          <x:t xml:space="preserve">de+ru+en</x:t>
        </x:is>
      </x:c>
      <x:c r="T60" s="15" t="inlineStr">
        <x:is>
          <x:t xml:space="preserve">local_chain</x:t>
        </x:is>
      </x:c>
      <x:c r="U60" s="15" t="inlineStr">
        <x:is>
          <x:t xml:space="preserve"/>
        </x:is>
      </x:c>
    </x:row>
    <x:row r="61" ht="30" customHeight="1">
      <x:c r="A61" s="15" t="inlineStr">
        <x:is>
          <x:t xml:space="preserve">m050</x:t>
        </x:is>
      </x:c>
      <x:c r="B61" s="15" t="inlineStr">
        <x:is>
          <x:t xml:space="preserve">source_edge</x:t>
        </x:is>
      </x:c>
      <x:c r="C61" s="15" t="inlineStr">
        <x:is>
          <x:t xml:space="preserve">ev.p6.bestow_and_distribute</x:t>
        </x:is>
      </x:c>
      <x:c r="D61" s="15" t="inlineStr">
        <x:is>
          <x:t xml:space="preserve">одаривать и раздавать</x:t>
        </x:is>
      </x:c>
      <x:c r="E61" s="15" t="inlineStr">
        <x:is>
          <x:t xml:space="preserve">event</x:t>
        </x:is>
      </x:c>
      <x:c r="F61" s="15" t="inlineStr">
        <x:is>
          <x:t xml:space="preserve">has_mode</x:t>
        </x:is>
      </x:c>
      <x:c r="G61" s="15" t="inlineStr">
        <x:is>
          <x:t xml:space="preserve">имеет модус</x:t>
        </x:is>
      </x:c>
      <x:c r="H61" s="15" t="inlineStr">
        <x:is>
          <x:t xml:space="preserve">n.bestowal</x:t>
        </x:is>
      </x:c>
      <x:c r="I61" s="15" t="inlineStr">
        <x:is>
          <x:t xml:space="preserve">одаривание</x:t>
        </x:is>
      </x:c>
      <x:c r="J61" s="15" t="inlineStr">
        <x:is>
          <x:t xml:space="preserve">act-mode</x:t>
        </x:is>
      </x:c>
      <x:c r="K61" s="15" t="inlineStr">
        <x:is>
          <x:t xml:space="preserve">source_linked</x:t>
        </x:is>
      </x:c>
      <x:c r="L61" s="15" t="inlineStr">
        <x:is>
          <x:t xml:space="preserve">1,1,1,6</x:t>
        </x:is>
      </x:c>
      <x:c r="M61" s="15" t="inlineStr">
        <x:is>
          <x:t xml:space="preserve"/>
        </x:is>
      </x:c>
      <x:c r="N61" s="15" t="n">
        <x:v>6</x:v>
      </x:c>
      <x:c r="O61" s="15" t="n">
        <x:v>6</x:v>
      </x:c>
      <x:c r="P61" s="15" t="inlineStr">
        <x:is>
          <x:t xml:space="preserve">[6]</x:t>
        </x:is>
      </x:c>
      <x:c r="Q61" s="15" t="inlineStr">
        <x:is>
          <x:t xml:space="preserve">|p6|</x:t>
        </x:is>
      </x:c>
      <x:c r="R61" s="15" t="inlineStr">
        <x:is>
          <x:t xml:space="preserve">seg.1.1.1.6</x:t>
        </x:is>
      </x:c>
      <x:c r="S61" s="15" t="inlineStr">
        <x:is>
          <x:t xml:space="preserve">de+ru+en</x:t>
        </x:is>
      </x:c>
      <x:c r="T61" s="15" t="inlineStr">
        <x:is>
          <x:t xml:space="preserve">local_chain</x:t>
        </x:is>
      </x:c>
      <x:c r="U61" s="15" t="inlineStr">
        <x:is>
          <x:t xml:space="preserve"/>
        </x:is>
      </x:c>
    </x:row>
    <x:row r="62" ht="30" customHeight="1">
      <x:c r="A62" s="15" t="inlineStr">
        <x:is>
          <x:t xml:space="preserve">m051</x:t>
        </x:is>
      </x:c>
      <x:c r="B62" s="15" t="inlineStr">
        <x:is>
          <x:t xml:space="preserve">source_edge</x:t>
        </x:is>
      </x:c>
      <x:c r="C62" s="15" t="inlineStr">
        <x:is>
          <x:t xml:space="preserve">ev.p6.bestow_and_distribute</x:t>
        </x:is>
      </x:c>
      <x:c r="D62" s="15" t="inlineStr">
        <x:is>
          <x:t xml:space="preserve">одаривать и раздавать</x:t>
        </x:is>
      </x:c>
      <x:c r="E62" s="15" t="inlineStr">
        <x:is>
          <x:t xml:space="preserve">event</x:t>
        </x:is>
      </x:c>
      <x:c r="F62" s="15" t="inlineStr">
        <x:is>
          <x:t xml:space="preserve">has_mode</x:t>
        </x:is>
      </x:c>
      <x:c r="G62" s="15" t="inlineStr">
        <x:is>
          <x:t xml:space="preserve">имеет модус</x:t>
        </x:is>
      </x:c>
      <x:c r="H62" s="15" t="inlineStr">
        <x:is>
          <x:t xml:space="preserve">n.distribution</x:t>
        </x:is>
      </x:c>
      <x:c r="I62" s="15" t="inlineStr">
        <x:is>
          <x:t xml:space="preserve">раздача</x:t>
        </x:is>
      </x:c>
      <x:c r="J62" s="15" t="inlineStr">
        <x:is>
          <x:t xml:space="preserve">act-mode</x:t>
        </x:is>
      </x:c>
      <x:c r="K62" s="15" t="inlineStr">
        <x:is>
          <x:t xml:space="preserve">source_linked</x:t>
        </x:is>
      </x:c>
      <x:c r="L62" s="15" t="inlineStr">
        <x:is>
          <x:t xml:space="preserve">1,1,1,6</x:t>
        </x:is>
      </x:c>
      <x:c r="M62" s="15" t="inlineStr">
        <x:is>
          <x:t xml:space="preserve"/>
        </x:is>
      </x:c>
      <x:c r="N62" s="15" t="n">
        <x:v>6</x:v>
      </x:c>
      <x:c r="O62" s="15" t="n">
        <x:v>6</x:v>
      </x:c>
      <x:c r="P62" s="15" t="inlineStr">
        <x:is>
          <x:t xml:space="preserve">[6]</x:t>
        </x:is>
      </x:c>
      <x:c r="Q62" s="15" t="inlineStr">
        <x:is>
          <x:t xml:space="preserve">|p6|</x:t>
        </x:is>
      </x:c>
      <x:c r="R62" s="15" t="inlineStr">
        <x:is>
          <x:t xml:space="preserve">seg.1.1.1.6</x:t>
        </x:is>
      </x:c>
      <x:c r="S62" s="15" t="inlineStr">
        <x:is>
          <x:t xml:space="preserve">de+ru+en</x:t>
        </x:is>
      </x:c>
      <x:c r="T62" s="15" t="inlineStr">
        <x:is>
          <x:t xml:space="preserve">local_chain</x:t>
        </x:is>
      </x:c>
      <x:c r="U62" s="15" t="inlineStr">
        <x:is>
          <x:t xml:space="preserve"/>
        </x:is>
      </x:c>
    </x:row>
    <x:row r="63" ht="30" customHeight="1">
      <x:c r="A63" s="15" t="inlineStr">
        <x:is>
          <x:t xml:space="preserve">m052</x:t>
        </x:is>
      </x:c>
      <x:c r="B63" s="15" t="inlineStr">
        <x:is>
          <x:t xml:space="preserve">source_edge</x:t>
        </x:is>
      </x:c>
      <x:c r="C63" s="15" t="inlineStr">
        <x:is>
          <x:t xml:space="preserve">ev.p6.bestow_and_distribute</x:t>
        </x:is>
      </x:c>
      <x:c r="D63" s="15" t="inlineStr">
        <x:is>
          <x:t xml:space="preserve">одаривать и раздавать</x:t>
        </x:is>
      </x:c>
      <x:c r="E63" s="15" t="inlineStr">
        <x:is>
          <x:t xml:space="preserve">event</x:t>
        </x:is>
      </x:c>
      <x:c r="F63" s="15" t="inlineStr">
        <x:is>
          <x:t xml:space="preserve">targets</x:t>
        </x:is>
      </x:c>
      <x:c r="G63" s="15" t="inlineStr">
        <x:is>
          <x:t xml:space="preserve">направлено к</x:t>
        </x:is>
      </x:c>
      <x:c r="H63" s="15" t="inlineStr">
        <x:is>
          <x:t xml:space="preserve">n.humans</x:t>
        </x:is>
      </x:c>
      <x:c r="I63" s="15" t="inlineStr">
        <x:is>
          <x:t xml:space="preserve">люди</x:t>
        </x:is>
      </x:c>
      <x:c r="J63" s="15" t="inlineStr">
        <x:is>
          <x:t xml:space="preserve">relational_group</x:t>
        </x:is>
      </x:c>
      <x:c r="K63" s="15" t="inlineStr">
        <x:is>
          <x:t xml:space="preserve">source_linked</x:t>
        </x:is>
      </x:c>
      <x:c r="L63" s="15" t="inlineStr">
        <x:is>
          <x:t xml:space="preserve">1,1,1,6</x:t>
        </x:is>
      </x:c>
      <x:c r="M63" s="15" t="inlineStr">
        <x:is>
          <x:t xml:space="preserve"/>
        </x:is>
      </x:c>
      <x:c r="N63" s="15" t="n">
        <x:v>6</x:v>
      </x:c>
      <x:c r="O63" s="15" t="n">
        <x:v>6</x:v>
      </x:c>
      <x:c r="P63" s="15" t="inlineStr">
        <x:is>
          <x:t xml:space="preserve">[6]</x:t>
        </x:is>
      </x:c>
      <x:c r="Q63" s="15" t="inlineStr">
        <x:is>
          <x:t xml:space="preserve">|p6|</x:t>
        </x:is>
      </x:c>
      <x:c r="R63" s="15" t="inlineStr">
        <x:is>
          <x:t xml:space="preserve">seg.1.1.1.6</x:t>
        </x:is>
      </x:c>
      <x:c r="S63" s="15" t="inlineStr">
        <x:is>
          <x:t xml:space="preserve">de+ru+en</x:t>
        </x:is>
      </x:c>
      <x:c r="T63" s="15" t="inlineStr">
        <x:is>
          <x:t xml:space="preserve">local_chain</x:t>
        </x:is>
      </x:c>
      <x:c r="U63" s="15" t="inlineStr">
        <x:is>
          <x:t xml:space="preserve"/>
        </x:is>
      </x:c>
    </x:row>
    <x:row r="64" ht="30" customHeight="1">
      <x:c r="A64" s="15" t="inlineStr">
        <x:is>
          <x:t xml:space="preserve">m053</x:t>
        </x:is>
      </x:c>
      <x:c r="B64" s="15" t="inlineStr">
        <x:is>
          <x:t xml:space="preserve">source_edge</x:t>
        </x:is>
      </x:c>
      <x:c r="C64" s="15" t="inlineStr">
        <x:is>
          <x:t xml:space="preserve">ev.p6.bestow_and_distribute</x:t>
        </x:is>
      </x:c>
      <x:c r="D64" s="15" t="inlineStr">
        <x:is>
          <x:t xml:space="preserve">одаривать и раздавать</x:t>
        </x:is>
      </x:c>
      <x:c r="E64" s="15" t="inlineStr">
        <x:is>
          <x:t xml:space="preserve">event</x:t>
        </x:is>
      </x:c>
      <x:c r="F64" s="15" t="inlineStr">
        <x:is>
          <x:t xml:space="preserve">continues_until</x:t>
        </x:is>
      </x:c>
      <x:c r="G64" s="15" t="inlineStr">
        <x:is>
          <x:t xml:space="preserve">длится до</x:t>
        </x:is>
      </x:c>
      <x:c r="H64" s="15" t="inlineStr">
        <x:is>
          <x:t xml:space="preserve">st.p6.revaluation_of_joy</x:t>
        </x:is>
      </x:c>
      <x:c r="I64" s="15" t="inlineStr">
        <x:is>
          <x:t xml:space="preserve">переоценка радости и меры</x:t>
        </x:is>
      </x:c>
      <x:c r="J64" s="15" t="inlineStr">
        <x:is>
          <x:t xml:space="preserve">state</x:t>
        </x:is>
      </x:c>
      <x:c r="K64" s="15" t="inlineStr">
        <x:is>
          <x:t xml:space="preserve">source_linked</x:t>
        </x:is>
      </x:c>
      <x:c r="L64" s="15" t="inlineStr">
        <x:is>
          <x:t xml:space="preserve">1,1,1,6</x:t>
        </x:is>
      </x:c>
      <x:c r="M64" s="15" t="inlineStr">
        <x:is>
          <x:t xml:space="preserve"/>
        </x:is>
      </x:c>
      <x:c r="N64" s="15" t="n">
        <x:v>6</x:v>
      </x:c>
      <x:c r="O64" s="15" t="n">
        <x:v>6</x:v>
      </x:c>
      <x:c r="P64" s="15" t="inlineStr">
        <x:is>
          <x:t xml:space="preserve">[6]</x:t>
        </x:is>
      </x:c>
      <x:c r="Q64" s="15" t="inlineStr">
        <x:is>
          <x:t xml:space="preserve">|p6|</x:t>
        </x:is>
      </x:c>
      <x:c r="R64" s="15" t="inlineStr">
        <x:is>
          <x:t xml:space="preserve">seg.1.1.1.6</x:t>
        </x:is>
      </x:c>
      <x:c r="S64" s="15" t="inlineStr">
        <x:is>
          <x:t xml:space="preserve">de+ru+en</x:t>
        </x:is>
      </x:c>
      <x:c r="T64" s="15" t="inlineStr">
        <x:is>
          <x:t xml:space="preserve">local_chain</x:t>
        </x:is>
      </x:c>
      <x:c r="U64" s="15" t="inlineStr">
        <x:is>
          <x:t xml:space="preserve"/>
        </x:is>
      </x:c>
    </x:row>
    <x:row r="65" ht="30" customHeight="1">
      <x:c r="A65" s="15" t="inlineStr">
        <x:is>
          <x:t xml:space="preserve">m054</x:t>
        </x:is>
      </x:c>
      <x:c r="B65" s="15" t="inlineStr">
        <x:is>
          <x:t xml:space="preserve">source_edge</x:t>
        </x:is>
      </x:c>
      <x:c r="C65" s="15" t="inlineStr">
        <x:is>
          <x:t xml:space="preserve">st.p6.revaluation_of_joy</x:t>
        </x:is>
      </x:c>
      <x:c r="D65" s="15" t="inlineStr">
        <x:is>
          <x:t xml:space="preserve">переоценка радости и меры</x:t>
        </x:is>
      </x:c>
      <x:c r="E65" s="15" t="inlineStr">
        <x:is>
          <x:t xml:space="preserve">state</x:t>
        </x:is>
      </x:c>
      <x:c r="F65" s="15" t="inlineStr">
        <x:is>
          <x:t xml:space="preserve">affects</x:t>
        </x:is>
      </x:c>
      <x:c r="G65" s="15" t="inlineStr">
        <x:is>
          <x:t xml:space="preserve">затрагивает</x:t>
        </x:is>
      </x:c>
      <x:c r="H65" s="15" t="inlineStr">
        <x:is>
          <x:t xml:space="preserve">n.wise_among_humans</x:t>
        </x:is>
      </x:c>
      <x:c r="I65" s="15" t="inlineStr">
        <x:is>
          <x:t xml:space="preserve">мудрые среди людей</x:t>
        </x:is>
      </x:c>
      <x:c r="J65" s="15" t="inlineStr">
        <x:is>
          <x:t xml:space="preserve">subgroup</x:t>
        </x:is>
      </x:c>
      <x:c r="K65" s="15" t="inlineStr">
        <x:is>
          <x:t xml:space="preserve">source_linked</x:t>
        </x:is>
      </x:c>
      <x:c r="L65" s="15" t="inlineStr">
        <x:is>
          <x:t xml:space="preserve">1,1,1,6</x:t>
        </x:is>
      </x:c>
      <x:c r="M65" s="15" t="inlineStr">
        <x:is>
          <x:t xml:space="preserve"/>
        </x:is>
      </x:c>
      <x:c r="N65" s="15" t="n">
        <x:v>6</x:v>
      </x:c>
      <x:c r="O65" s="15" t="n">
        <x:v>6</x:v>
      </x:c>
      <x:c r="P65" s="15" t="inlineStr">
        <x:is>
          <x:t xml:space="preserve">[6]</x:t>
        </x:is>
      </x:c>
      <x:c r="Q65" s="15" t="inlineStr">
        <x:is>
          <x:t xml:space="preserve">|p6|</x:t>
        </x:is>
      </x:c>
      <x:c r="R65" s="15" t="inlineStr">
        <x:is>
          <x:t xml:space="preserve">seg.1.1.1.6</x:t>
        </x:is>
      </x:c>
      <x:c r="S65" s="15" t="inlineStr">
        <x:is>
          <x:t xml:space="preserve">de+ru+en</x:t>
        </x:is>
      </x:c>
      <x:c r="T65" s="15" t="inlineStr">
        <x:is>
          <x:t xml:space="preserve">local_chain</x:t>
        </x:is>
      </x:c>
      <x:c r="U65" s="15" t="inlineStr">
        <x:is>
          <x:t xml:space="preserve"/>
        </x:is>
      </x:c>
    </x:row>
    <x:row r="66" ht="30" customHeight="1">
      <x:c r="A66" s="15" t="inlineStr">
        <x:is>
          <x:t xml:space="preserve">m055</x:t>
        </x:is>
      </x:c>
      <x:c r="B66" s="15" t="inlineStr">
        <x:is>
          <x:t xml:space="preserve">source_edge</x:t>
        </x:is>
      </x:c>
      <x:c r="C66" s="15" t="inlineStr">
        <x:is>
          <x:t xml:space="preserve">n.wise_among_humans</x:t>
        </x:is>
      </x:c>
      <x:c r="D66" s="15" t="inlineStr">
        <x:is>
          <x:t xml:space="preserve">мудрые среди людей</x:t>
        </x:is>
      </x:c>
      <x:c r="E66" s="15" t="inlineStr">
        <x:is>
          <x:t xml:space="preserve">subgroup</x:t>
        </x:is>
      </x:c>
      <x:c r="F66" s="15" t="inlineStr">
        <x:is>
          <x:t xml:space="preserve">subset_of</x:t>
        </x:is>
      </x:c>
      <x:c r="G66" s="15" t="inlineStr">
        <x:is>
          <x:t xml:space="preserve">является подмножеством</x:t>
        </x:is>
      </x:c>
      <x:c r="H66" s="15" t="inlineStr">
        <x:is>
          <x:t xml:space="preserve">n.humans</x:t>
        </x:is>
      </x:c>
      <x:c r="I66" s="15" t="inlineStr">
        <x:is>
          <x:t xml:space="preserve">люди</x:t>
        </x:is>
      </x:c>
      <x:c r="J66" s="15" t="inlineStr">
        <x:is>
          <x:t xml:space="preserve">relational_group</x:t>
        </x:is>
      </x:c>
      <x:c r="K66" s="15" t="inlineStr">
        <x:is>
          <x:t xml:space="preserve">source_linked</x:t>
        </x:is>
      </x:c>
      <x:c r="L66" s="15" t="inlineStr">
        <x:is>
          <x:t xml:space="preserve">1,1,1,6</x:t>
        </x:is>
      </x:c>
      <x:c r="M66" s="15" t="inlineStr">
        <x:is>
          <x:t xml:space="preserve"/>
        </x:is>
      </x:c>
      <x:c r="N66" s="15" t="n">
        <x:v>6</x:v>
      </x:c>
      <x:c r="O66" s="15" t="n">
        <x:v>6</x:v>
      </x:c>
      <x:c r="P66" s="15" t="inlineStr">
        <x:is>
          <x:t xml:space="preserve">[6]</x:t>
        </x:is>
      </x:c>
      <x:c r="Q66" s="15" t="inlineStr">
        <x:is>
          <x:t xml:space="preserve">|p6|</x:t>
        </x:is>
      </x:c>
      <x:c r="R66" s="15" t="inlineStr">
        <x:is>
          <x:t xml:space="preserve">seg.1.1.1.6</x:t>
        </x:is>
      </x:c>
      <x:c r="S66" s="15" t="inlineStr">
        <x:is>
          <x:t xml:space="preserve">de+ru+en</x:t>
        </x:is>
      </x:c>
      <x:c r="T66" s="15" t="inlineStr">
        <x:is>
          <x:t xml:space="preserve">local_chain</x:t>
        </x:is>
      </x:c>
      <x:c r="U66" s="15" t="inlineStr">
        <x:is>
          <x:t xml:space="preserve"/>
        </x:is>
      </x:c>
    </x:row>
    <x:row r="67" ht="30" customHeight="1">
      <x:c r="A67" s="15" t="inlineStr">
        <x:is>
          <x:t xml:space="preserve">m056</x:t>
        </x:is>
      </x:c>
      <x:c r="B67" s="15" t="inlineStr">
        <x:is>
          <x:t xml:space="preserve">source_edge</x:t>
        </x:is>
      </x:c>
      <x:c r="C67" s="15" t="inlineStr">
        <x:is>
          <x:t xml:space="preserve">n.wise_among_humans</x:t>
        </x:is>
      </x:c>
      <x:c r="D67" s="15" t="inlineStr">
        <x:is>
          <x:t xml:space="preserve">мудрые среди людей</x:t>
        </x:is>
      </x:c>
      <x:c r="E67" s="15" t="inlineStr">
        <x:is>
          <x:t xml:space="preserve">subgroup</x:t>
        </x:is>
      </x:c>
      <x:c r="F67" s="15" t="inlineStr">
        <x:is>
          <x:t xml:space="preserve">becomes_glad_of</x:t>
        </x:is>
      </x:c>
      <x:c r="G67" s="15" t="inlineStr">
        <x:is>
          <x:t xml:space="preserve">становится радостным о</x:t>
        </x:is>
      </x:c>
      <x:c r="H67" s="15" t="inlineStr">
        <x:is>
          <x:t xml:space="preserve">n.folly</x:t>
        </x:is>
      </x:c>
      <x:c r="I67" s="15" t="inlineStr">
        <x:is>
          <x:t xml:space="preserve">глупость / Thorheit</x:t>
        </x:is>
      </x:c>
      <x:c r="J67" s="15" t="inlineStr">
        <x:is>
          <x:t xml:space="preserve">concept-tension</x:t>
        </x:is>
      </x:c>
      <x:c r="K67" s="15" t="inlineStr">
        <x:is>
          <x:t xml:space="preserve">source_linked</x:t>
        </x:is>
      </x:c>
      <x:c r="L67" s="15" t="inlineStr">
        <x:is>
          <x:t xml:space="preserve">1,1,1,6</x:t>
        </x:is>
      </x:c>
      <x:c r="M67" s="15" t="inlineStr">
        <x:is>
          <x:t xml:space="preserve"/>
        </x:is>
      </x:c>
      <x:c r="N67" s="15" t="n">
        <x:v>6</x:v>
      </x:c>
      <x:c r="O67" s="15" t="n">
        <x:v>6</x:v>
      </x:c>
      <x:c r="P67" s="15" t="inlineStr">
        <x:is>
          <x:t xml:space="preserve">[6]</x:t>
        </x:is>
      </x:c>
      <x:c r="Q67" s="15" t="inlineStr">
        <x:is>
          <x:t xml:space="preserve">|p6|</x:t>
        </x:is>
      </x:c>
      <x:c r="R67" s="15" t="inlineStr">
        <x:is>
          <x:t xml:space="preserve">seg.1.1.1.6</x:t>
        </x:is>
      </x:c>
      <x:c r="S67" s="15" t="inlineStr">
        <x:is>
          <x:t xml:space="preserve">de+ru+en</x:t>
        </x:is>
      </x:c>
      <x:c r="T67" s="15" t="inlineStr">
        <x:is>
          <x:t xml:space="preserve">local_chain</x:t>
        </x:is>
      </x:c>
      <x:c r="U67" s="15" t="inlineStr">
        <x:is>
          <x:t xml:space="preserve"/>
        </x:is>
      </x:c>
    </x:row>
    <x:row r="68" ht="30" customHeight="1">
      <x:c r="A68" s="15" t="inlineStr">
        <x:is>
          <x:t xml:space="preserve">m057</x:t>
        </x:is>
      </x:c>
      <x:c r="B68" s="15" t="inlineStr">
        <x:is>
          <x:t xml:space="preserve">source_edge</x:t>
        </x:is>
      </x:c>
      <x:c r="C68" s="15" t="inlineStr">
        <x:is>
          <x:t xml:space="preserve">st.p6.revaluation_of_joy</x:t>
        </x:is>
      </x:c>
      <x:c r="D68" s="15" t="inlineStr">
        <x:is>
          <x:t xml:space="preserve">переоценка радости и меры</x:t>
        </x:is>
      </x:c>
      <x:c r="E68" s="15" t="inlineStr">
        <x:is>
          <x:t xml:space="preserve">state</x:t>
        </x:is>
      </x:c>
      <x:c r="F68" s="15" t="inlineStr">
        <x:is>
          <x:t xml:space="preserve">affects</x:t>
        </x:is>
      </x:c>
      <x:c r="G68" s="15" t="inlineStr">
        <x:is>
          <x:t xml:space="preserve">затрагивает</x:t>
        </x:is>
      </x:c>
      <x:c r="H68" s="15" t="inlineStr">
        <x:is>
          <x:t xml:space="preserve">n.poor_among_humans</x:t>
        </x:is>
      </x:c>
      <x:c r="I68" s="15" t="inlineStr">
        <x:is>
          <x:t xml:space="preserve">бедные среди людей</x:t>
        </x:is>
      </x:c>
      <x:c r="J68" s="15" t="inlineStr">
        <x:is>
          <x:t xml:space="preserve">subgroup</x:t>
        </x:is>
      </x:c>
      <x:c r="K68" s="15" t="inlineStr">
        <x:is>
          <x:t xml:space="preserve">source_linked</x:t>
        </x:is>
      </x:c>
      <x:c r="L68" s="15" t="inlineStr">
        <x:is>
          <x:t xml:space="preserve">1,1,1,6</x:t>
        </x:is>
      </x:c>
      <x:c r="M68" s="15" t="inlineStr">
        <x:is>
          <x:t xml:space="preserve"/>
        </x:is>
      </x:c>
      <x:c r="N68" s="15" t="n">
        <x:v>6</x:v>
      </x:c>
      <x:c r="O68" s="15" t="n">
        <x:v>6</x:v>
      </x:c>
      <x:c r="P68" s="15" t="inlineStr">
        <x:is>
          <x:t xml:space="preserve">[6]</x:t>
        </x:is>
      </x:c>
      <x:c r="Q68" s="15" t="inlineStr">
        <x:is>
          <x:t xml:space="preserve">|p6|</x:t>
        </x:is>
      </x:c>
      <x:c r="R68" s="15" t="inlineStr">
        <x:is>
          <x:t xml:space="preserve">seg.1.1.1.6</x:t>
        </x:is>
      </x:c>
      <x:c r="S68" s="15" t="inlineStr">
        <x:is>
          <x:t xml:space="preserve">de+ru+en</x:t>
        </x:is>
      </x:c>
      <x:c r="T68" s="15" t="inlineStr">
        <x:is>
          <x:t xml:space="preserve">local_chain</x:t>
        </x:is>
      </x:c>
      <x:c r="U68" s="15" t="inlineStr">
        <x:is>
          <x:t xml:space="preserve"/>
        </x:is>
      </x:c>
    </x:row>
    <x:row r="69" ht="30" customHeight="1">
      <x:c r="A69" s="15" t="inlineStr">
        <x:is>
          <x:t xml:space="preserve">m058</x:t>
        </x:is>
      </x:c>
      <x:c r="B69" s="15" t="inlineStr">
        <x:is>
          <x:t xml:space="preserve">source_edge</x:t>
        </x:is>
      </x:c>
      <x:c r="C69" s="15" t="inlineStr">
        <x:is>
          <x:t xml:space="preserve">n.poor_among_humans</x:t>
        </x:is>
      </x:c>
      <x:c r="D69" s="15" t="inlineStr">
        <x:is>
          <x:t xml:space="preserve">бедные среди людей</x:t>
        </x:is>
      </x:c>
      <x:c r="E69" s="15" t="inlineStr">
        <x:is>
          <x:t xml:space="preserve">subgroup</x:t>
        </x:is>
      </x:c>
      <x:c r="F69" s="15" t="inlineStr">
        <x:is>
          <x:t xml:space="preserve">subset_of</x:t>
        </x:is>
      </x:c>
      <x:c r="G69" s="15" t="inlineStr">
        <x:is>
          <x:t xml:space="preserve">является подмножеством</x:t>
        </x:is>
      </x:c>
      <x:c r="H69" s="15" t="inlineStr">
        <x:is>
          <x:t xml:space="preserve">n.humans</x:t>
        </x:is>
      </x:c>
      <x:c r="I69" s="15" t="inlineStr">
        <x:is>
          <x:t xml:space="preserve">люди</x:t>
        </x:is>
      </x:c>
      <x:c r="J69" s="15" t="inlineStr">
        <x:is>
          <x:t xml:space="preserve">relational_group</x:t>
        </x:is>
      </x:c>
      <x:c r="K69" s="15" t="inlineStr">
        <x:is>
          <x:t xml:space="preserve">source_linked</x:t>
        </x:is>
      </x:c>
      <x:c r="L69" s="15" t="inlineStr">
        <x:is>
          <x:t xml:space="preserve">1,1,1,6</x:t>
        </x:is>
      </x:c>
      <x:c r="M69" s="15" t="inlineStr">
        <x:is>
          <x:t xml:space="preserve"/>
        </x:is>
      </x:c>
      <x:c r="N69" s="15" t="n">
        <x:v>6</x:v>
      </x:c>
      <x:c r="O69" s="15" t="n">
        <x:v>6</x:v>
      </x:c>
      <x:c r="P69" s="15" t="inlineStr">
        <x:is>
          <x:t xml:space="preserve">[6]</x:t>
        </x:is>
      </x:c>
      <x:c r="Q69" s="15" t="inlineStr">
        <x:is>
          <x:t xml:space="preserve">|p6|</x:t>
        </x:is>
      </x:c>
      <x:c r="R69" s="15" t="inlineStr">
        <x:is>
          <x:t xml:space="preserve">seg.1.1.1.6</x:t>
        </x:is>
      </x:c>
      <x:c r="S69" s="15" t="inlineStr">
        <x:is>
          <x:t xml:space="preserve">de+ru+en</x:t>
        </x:is>
      </x:c>
      <x:c r="T69" s="15" t="inlineStr">
        <x:is>
          <x:t xml:space="preserve">local_chain</x:t>
        </x:is>
      </x:c>
      <x:c r="U69" s="15" t="inlineStr">
        <x:is>
          <x:t xml:space="preserve"/>
        </x:is>
      </x:c>
    </x:row>
    <x:row r="70" ht="30" customHeight="1">
      <x:c r="A70" s="15" t="inlineStr">
        <x:is>
          <x:t xml:space="preserve">m059</x:t>
        </x:is>
      </x:c>
      <x:c r="B70" s="15" t="inlineStr">
        <x:is>
          <x:t xml:space="preserve">source_edge</x:t>
        </x:is>
      </x:c>
      <x:c r="C70" s="15" t="inlineStr">
        <x:is>
          <x:t xml:space="preserve">n.poor_among_humans</x:t>
        </x:is>
      </x:c>
      <x:c r="D70" s="15" t="inlineStr">
        <x:is>
          <x:t xml:space="preserve">бедные среди людей</x:t>
        </x:is>
      </x:c>
      <x:c r="E70" s="15" t="inlineStr">
        <x:is>
          <x:t xml:space="preserve">subgroup</x:t>
        </x:is>
      </x:c>
      <x:c r="F70" s="15" t="inlineStr">
        <x:is>
          <x:t xml:space="preserve">becomes_glad_of</x:t>
        </x:is>
      </x:c>
      <x:c r="G70" s="15" t="inlineStr">
        <x:is>
          <x:t xml:space="preserve">становится радостным о</x:t>
        </x:is>
      </x:c>
      <x:c r="H70" s="15" t="inlineStr">
        <x:is>
          <x:t xml:space="preserve">n.wealth</x:t>
        </x:is>
      </x:c>
      <x:c r="I70" s="15" t="inlineStr">
        <x:is>
          <x:t xml:space="preserve">богатство</x:t>
        </x:is>
      </x:c>
      <x:c r="J70" s="15" t="inlineStr">
        <x:is>
          <x:t xml:space="preserve">concept</x:t>
        </x:is>
      </x:c>
      <x:c r="K70" s="15" t="inlineStr">
        <x:is>
          <x:t xml:space="preserve">source_linked</x:t>
        </x:is>
      </x:c>
      <x:c r="L70" s="15" t="inlineStr">
        <x:is>
          <x:t xml:space="preserve">1,1,1,6</x:t>
        </x:is>
      </x:c>
      <x:c r="M70" s="15" t="inlineStr">
        <x:is>
          <x:t xml:space="preserve"/>
        </x:is>
      </x:c>
      <x:c r="N70" s="15" t="n">
        <x:v>6</x:v>
      </x:c>
      <x:c r="O70" s="15" t="n">
        <x:v>6</x:v>
      </x:c>
      <x:c r="P70" s="15" t="inlineStr">
        <x:is>
          <x:t xml:space="preserve">[6]</x:t>
        </x:is>
      </x:c>
      <x:c r="Q70" s="15" t="inlineStr">
        <x:is>
          <x:t xml:space="preserve">|p6|</x:t>
        </x:is>
      </x:c>
      <x:c r="R70" s="15" t="inlineStr">
        <x:is>
          <x:t xml:space="preserve">seg.1.1.1.6</x:t>
        </x:is>
      </x:c>
      <x:c r="S70" s="15" t="inlineStr">
        <x:is>
          <x:t xml:space="preserve">de+ru+en</x:t>
        </x:is>
      </x:c>
      <x:c r="T70" s="15" t="inlineStr">
        <x:is>
          <x:t xml:space="preserve">local_chain</x:t>
        </x:is>
      </x:c>
      <x:c r="U70" s="15" t="inlineStr">
        <x:is>
          <x:t xml:space="preserve"/>
        </x:is>
      </x:c>
    </x:row>
    <x:row r="71" ht="30" customHeight="1">
      <x:c r="A71" s="16" t="inlineStr">
        <x:is>
          <x:t xml:space="preserve">m060</x:t>
        </x:is>
      </x:c>
      <x:c r="B71" s="16" t="inlineStr">
        <x:is>
          <x:t xml:space="preserve">bridge_edge</x:t>
        </x:is>
      </x:c>
      <x:c r="C71" s="16" t="inlineStr">
        <x:is>
          <x:t xml:space="preserve">ev.p6.bestow_and_distribute</x:t>
        </x:is>
      </x:c>
      <x:c r="D71" s="16" t="inlineStr">
        <x:is>
          <x:t xml:space="preserve">одаривать и раздавать</x:t>
        </x:is>
      </x:c>
      <x:c r="E71" s="16" t="inlineStr">
        <x:is>
          <x:t xml:space="preserve">event</x:t>
        </x:is>
      </x:c>
      <x:c r="F71" s="16" t="inlineStr">
        <x:is>
          <x:t xml:space="preserve">leads_to</x:t>
        </x:is>
      </x:c>
      <x:c r="G71" s="16" t="inlineStr">
        <x:is>
          <x:t xml:space="preserve">ведёт к</x:t>
        </x:is>
      </x:c>
      <x:c r="H71" s="16" t="inlineStr">
        <x:is>
          <x:t xml:space="preserve">ev.p7.descend_into_depth</x:t>
        </x:is>
      </x:c>
      <x:c r="I71" s="16" t="inlineStr">
        <x:is>
          <x:t xml:space="preserve">спуск в глубину</x:t>
        </x:is>
      </x:c>
      <x:c r="J71" s="16" t="inlineStr">
        <x:is>
          <x:t xml:space="preserve">event</x:t>
        </x:is>
      </x:c>
      <x:c r="K71" s="16" t="inlineStr">
        <x:is>
          <x:t xml:space="preserve">source_linked</x:t>
        </x:is>
      </x:c>
      <x:c r="L71" s="16" t="inlineStr">
        <x:is>
          <x:t xml:space="preserve">1,1,1,6</x:t>
        </x:is>
      </x:c>
      <x:c r="M71" s="16" t="inlineStr">
        <x:is>
          <x:t xml:space="preserve">1,1,1,7</x:t>
        </x:is>
      </x:c>
      <x:c r="N71" s="16" t="n">
        <x:v>6</x:v>
      </x:c>
      <x:c r="O71" s="16" t="n">
        <x:v>7</x:v>
      </x:c>
      <x:c r="P71" s="16" t="inlineStr">
        <x:is>
          <x:t xml:space="preserve">[6]-[7]</x:t>
        </x:is>
      </x:c>
      <x:c r="Q71" s="16" t="inlineStr">
        <x:is>
          <x:t xml:space="preserve">|p6|p7|</x:t>
        </x:is>
      </x:c>
      <x:c r="R71" s="16" t="inlineStr">
        <x:is>
          <x:t xml:space="preserve">seg.1.1.1.6|seg.1.1.1.7</x:t>
        </x:is>
      </x:c>
      <x:c r="S71" s="16" t="inlineStr">
        <x:is>
          <x:t xml:space="preserve">de+ru+en</x:t>
        </x:is>
      </x:c>
      <x:c r="T71" s="16" t="inlineStr">
        <x:is>
          <x:t xml:space="preserve">reasoning_bridge</x:t>
        </x:is>
      </x:c>
      <x:c r="U71" s="16" t="inlineStr">
        <x:is>
          <x:t xml:space="preserve">дар требует движения вниз</x:t>
        </x:is>
      </x:c>
    </x:row>
    <x:row r="72" ht="30" customHeight="1">
      <x:c r="A72" s="15" t="inlineStr">
        <x:is>
          <x:t xml:space="preserve">m061</x:t>
        </x:is>
      </x:c>
      <x:c r="B72" s="15" t="inlineStr">
        <x:is>
          <x:t xml:space="preserve">source_edge</x:t>
        </x:is>
      </x:c>
      <x:c r="C72" s="15" t="inlineStr">
        <x:is>
          <x:t xml:space="preserve">n.zarathustra</x:t>
        </x:is>
      </x:c>
      <x:c r="D72" s="15" t="inlineStr">
        <x:is>
          <x:t xml:space="preserve">Заратустра</x:t>
        </x:is>
      </x:c>
      <x:c r="E72" s="15" t="inlineStr">
        <x:is>
          <x:t xml:space="preserve">persona</x:t>
        </x:is>
      </x:c>
      <x:c r="F72" s="15" t="inlineStr">
        <x:is>
          <x:t xml:space="preserve">performs</x:t>
        </x:is>
      </x:c>
      <x:c r="G72" s="15" t="inlineStr">
        <x:is>
          <x:t xml:space="preserve">совершает</x:t>
        </x:is>
      </x:c>
      <x:c r="H72" s="15" t="inlineStr">
        <x:is>
          <x:t xml:space="preserve">ev.p7.descend_into_depth</x:t>
        </x:is>
      </x:c>
      <x:c r="I72" s="15" t="inlineStr">
        <x:is>
          <x:t xml:space="preserve">спуск в глубину</x:t>
        </x:is>
      </x:c>
      <x:c r="J72" s="15" t="inlineStr">
        <x:is>
          <x:t xml:space="preserve">event</x:t>
        </x:is>
      </x:c>
      <x:c r="K72" s="15" t="inlineStr">
        <x:is>
          <x:t xml:space="preserve">source_linked</x:t>
        </x:is>
      </x:c>
      <x:c r="L72" s="15" t="inlineStr">
        <x:is>
          <x:t xml:space="preserve">1,1,1,7</x:t>
        </x:is>
      </x:c>
      <x:c r="M72" s="15" t="inlineStr">
        <x:is>
          <x:t xml:space="preserve"/>
        </x:is>
      </x:c>
      <x:c r="N72" s="15" t="n">
        <x:v>7</x:v>
      </x:c>
      <x:c r="O72" s="15" t="n">
        <x:v>7</x:v>
      </x:c>
      <x:c r="P72" s="15" t="inlineStr">
        <x:is>
          <x:t xml:space="preserve">[7]</x:t>
        </x:is>
      </x:c>
      <x:c r="Q72" s="15" t="inlineStr">
        <x:is>
          <x:t xml:space="preserve">|p7|</x:t>
        </x:is>
      </x:c>
      <x:c r="R72" s="15" t="inlineStr">
        <x:is>
          <x:t xml:space="preserve">seg.1.1.1.7</x:t>
        </x:is>
      </x:c>
      <x:c r="S72" s="15" t="inlineStr">
        <x:is>
          <x:t xml:space="preserve">de+ru+en</x:t>
        </x:is>
      </x:c>
      <x:c r="T72" s="15" t="inlineStr">
        <x:is>
          <x:t xml:space="preserve">local_chain</x:t>
        </x:is>
      </x:c>
      <x:c r="U72" s="15" t="inlineStr">
        <x:is>
          <x:t xml:space="preserve"/>
        </x:is>
      </x:c>
    </x:row>
    <x:row r="73" ht="30" customHeight="1">
      <x:c r="A73" s="15" t="inlineStr">
        <x:is>
          <x:t xml:space="preserve">m062</x:t>
        </x:is>
      </x:c>
      <x:c r="B73" s="15" t="inlineStr">
        <x:is>
          <x:t xml:space="preserve">source_edge</x:t>
        </x:is>
      </x:c>
      <x:c r="C73" s="15" t="inlineStr">
        <x:is>
          <x:t xml:space="preserve">ev.p7.descend_into_depth</x:t>
        </x:is>
      </x:c>
      <x:c r="D73" s="15" t="inlineStr">
        <x:is>
          <x:t xml:space="preserve">спуск в глубину</x:t>
        </x:is>
      </x:c>
      <x:c r="E73" s="15" t="inlineStr">
        <x:is>
          <x:t xml:space="preserve">event</x:t>
        </x:is>
      </x:c>
      <x:c r="F73" s="15" t="inlineStr">
        <x:is>
          <x:t xml:space="preserve">destination</x:t>
        </x:is>
      </x:c>
      <x:c r="G73" s="15" t="inlineStr">
        <x:is>
          <x:t xml:space="preserve">направляется в</x:t>
        </x:is>
      </x:c>
      <x:c r="H73" s="15" t="inlineStr">
        <x:is>
          <x:t xml:space="preserve">n.depth</x:t>
        </x:is>
      </x:c>
      <x:c r="I73" s="15" t="inlineStr">
        <x:is>
          <x:t xml:space="preserve">глубина</x:t>
        </x:is>
      </x:c>
      <x:c r="J73" s="15" t="inlineStr">
        <x:is>
          <x:t xml:space="preserve">destination-symbol</x:t>
        </x:is>
      </x:c>
      <x:c r="K73" s="15" t="inlineStr">
        <x:is>
          <x:t xml:space="preserve">source_linked</x:t>
        </x:is>
      </x:c>
      <x:c r="L73" s="15" t="inlineStr">
        <x:is>
          <x:t xml:space="preserve">1,1,1,7</x:t>
        </x:is>
      </x:c>
      <x:c r="M73" s="15" t="inlineStr">
        <x:is>
          <x:t xml:space="preserve"/>
        </x:is>
      </x:c>
      <x:c r="N73" s="15" t="n">
        <x:v>7</x:v>
      </x:c>
      <x:c r="O73" s="15" t="n">
        <x:v>7</x:v>
      </x:c>
      <x:c r="P73" s="15" t="inlineStr">
        <x:is>
          <x:t xml:space="preserve">[7]</x:t>
        </x:is>
      </x:c>
      <x:c r="Q73" s="15" t="inlineStr">
        <x:is>
          <x:t xml:space="preserve">|p7|</x:t>
        </x:is>
      </x:c>
      <x:c r="R73" s="15" t="inlineStr">
        <x:is>
          <x:t xml:space="preserve">seg.1.1.1.7</x:t>
        </x:is>
      </x:c>
      <x:c r="S73" s="15" t="inlineStr">
        <x:is>
          <x:t xml:space="preserve">de+ru+en</x:t>
        </x:is>
      </x:c>
      <x:c r="T73" s="15" t="inlineStr">
        <x:is>
          <x:t xml:space="preserve">local_chain</x:t>
        </x:is>
      </x:c>
      <x:c r="U73" s="15" t="inlineStr">
        <x:is>
          <x:t xml:space="preserve"/>
        </x:is>
      </x:c>
    </x:row>
    <x:row r="74" ht="30" customHeight="1">
      <x:c r="A74" s="15" t="inlineStr">
        <x:is>
          <x:t xml:space="preserve">m063</x:t>
        </x:is>
      </x:c>
      <x:c r="B74" s="15" t="inlineStr">
        <x:is>
          <x:t xml:space="preserve">source_edge</x:t>
        </x:is>
      </x:c>
      <x:c r="C74" s="15" t="inlineStr">
        <x:is>
          <x:t xml:space="preserve">ev.p7.descend_into_depth</x:t>
        </x:is>
      </x:c>
      <x:c r="D74" s="15" t="inlineStr">
        <x:is>
          <x:t xml:space="preserve">спуск в глубину</x:t>
        </x:is>
      </x:c>
      <x:c r="E74" s="15" t="inlineStr">
        <x:is>
          <x:t xml:space="preserve">event</x:t>
        </x:is>
      </x:c>
      <x:c r="F74" s="15" t="inlineStr">
        <x:is>
          <x:t xml:space="preserve">motivated_by</x:t>
        </x:is>
      </x:c>
      <x:c r="G74" s="15" t="inlineStr">
        <x:is>
          <x:t xml:space="preserve">движимо</x:t>
        </x:is>
      </x:c>
      <x:c r="H74" s="15" t="inlineStr">
        <x:is>
          <x:t xml:space="preserve">ev.p6.bestow_and_distribute</x:t>
        </x:is>
      </x:c>
      <x:c r="I74" s="15" t="inlineStr">
        <x:is>
          <x:t xml:space="preserve">одаривать и раздавать</x:t>
        </x:is>
      </x:c>
      <x:c r="J74" s="15" t="inlineStr">
        <x:is>
          <x:t xml:space="preserve">event</x:t>
        </x:is>
      </x:c>
      <x:c r="K74" s="15" t="inlineStr">
        <x:is>
          <x:t xml:space="preserve">source_linked</x:t>
        </x:is>
      </x:c>
      <x:c r="L74" s="15" t="inlineStr">
        <x:is>
          <x:t xml:space="preserve">1,1,1,6</x:t>
        </x:is>
      </x:c>
      <x:c r="M74" s="15" t="inlineStr">
        <x:is>
          <x:t xml:space="preserve">1,1,1,7</x:t>
        </x:is>
      </x:c>
      <x:c r="N74" s="15" t="n">
        <x:v>6</x:v>
      </x:c>
      <x:c r="O74" s="15" t="n">
        <x:v>7</x:v>
      </x:c>
      <x:c r="P74" s="15" t="inlineStr">
        <x:is>
          <x:t xml:space="preserve">[6]-[7]</x:t>
        </x:is>
      </x:c>
      <x:c r="Q74" s="15" t="inlineStr">
        <x:is>
          <x:t xml:space="preserve">|p6|p7|</x:t>
        </x:is>
      </x:c>
      <x:c r="R74" s="15" t="inlineStr">
        <x:is>
          <x:t xml:space="preserve">seg.1.1.1.6|seg.1.1.1.7</x:t>
        </x:is>
      </x:c>
      <x:c r="S74" s="15" t="inlineStr">
        <x:is>
          <x:t xml:space="preserve">de+ru+en</x:t>
        </x:is>
      </x:c>
      <x:c r="T74" s="15" t="inlineStr">
        <x:is>
          <x:t xml:space="preserve">multi_anchor</x:t>
        </x:is>
      </x:c>
      <x:c r="U74" s="15" t="inlineStr">
        <x:is>
          <x:t xml:space="preserve"/>
        </x:is>
      </x:c>
    </x:row>
    <x:row r="75" ht="30" customHeight="1">
      <x:c r="A75" s="15" t="inlineStr">
        <x:is>
          <x:t xml:space="preserve">m064</x:t>
        </x:is>
      </x:c>
      <x:c r="B75" s="15" t="inlineStr">
        <x:is>
          <x:t xml:space="preserve">source_edge</x:t>
        </x:is>
      </x:c>
      <x:c r="C75" s="15" t="inlineStr">
        <x:is>
          <x:t xml:space="preserve">n.sun</x:t>
        </x:is>
      </x:c>
      <x:c r="D75" s="15" t="inlineStr">
        <x:is>
          <x:t xml:space="preserve">солнце / великое светило</x:t>
        </x:is>
      </x:c>
      <x:c r="E75" s="15" t="inlineStr">
        <x:is>
          <x:t xml:space="preserve">cosmic_entity</x:t>
        </x:is>
      </x:c>
      <x:c r="F75" s="15" t="inlineStr">
        <x:is>
          <x:t xml:space="preserve">participates_in</x:t>
        </x:is>
      </x:c>
      <x:c r="G75" s="15" t="inlineStr">
        <x:is>
          <x:t xml:space="preserve">участвует в</x:t>
        </x:is>
      </x:c>
      <x:c r="H75" s="15" t="inlineStr">
        <x:is>
          <x:t xml:space="preserve">ev.p7.sun_evening_underworld_light</x:t>
        </x:is>
      </x:c>
      <x:c r="I75" s="15" t="inlineStr">
        <x:is>
          <x:t xml:space="preserve">вечерний ход солнца за море с несением света</x:t>
        </x:is>
      </x:c>
      <x:c r="J75" s="15" t="inlineStr">
        <x:is>
          <x:t xml:space="preserve">event</x:t>
        </x:is>
      </x:c>
      <x:c r="K75" s="15" t="inlineStr">
        <x:is>
          <x:t xml:space="preserve">source_linked</x:t>
        </x:is>
      </x:c>
      <x:c r="L75" s="15" t="inlineStr">
        <x:is>
          <x:t xml:space="preserve">1,1,1,7</x:t>
        </x:is>
      </x:c>
      <x:c r="M75" s="15" t="inlineStr">
        <x:is>
          <x:t xml:space="preserve"/>
        </x:is>
      </x:c>
      <x:c r="N75" s="15" t="n">
        <x:v>7</x:v>
      </x:c>
      <x:c r="O75" s="15" t="n">
        <x:v>7</x:v>
      </x:c>
      <x:c r="P75" s="15" t="inlineStr">
        <x:is>
          <x:t xml:space="preserve">[7]</x:t>
        </x:is>
      </x:c>
      <x:c r="Q75" s="15" t="inlineStr">
        <x:is>
          <x:t xml:space="preserve">|p7|</x:t>
        </x:is>
      </x:c>
      <x:c r="R75" s="15" t="inlineStr">
        <x:is>
          <x:t xml:space="preserve">seg.1.1.1.7</x:t>
        </x:is>
      </x:c>
      <x:c r="S75" s="15" t="inlineStr">
        <x:is>
          <x:t xml:space="preserve">de+ru+en</x:t>
        </x:is>
      </x:c>
      <x:c r="T75" s="15" t="inlineStr">
        <x:is>
          <x:t xml:space="preserve">local_chain</x:t>
        </x:is>
      </x:c>
      <x:c r="U75" s="15" t="inlineStr">
        <x:is>
          <x:t xml:space="preserve"/>
        </x:is>
      </x:c>
    </x:row>
    <x:row r="76" ht="30" customHeight="1">
      <x:c r="A76" s="15" t="inlineStr">
        <x:is>
          <x:t xml:space="preserve">m065</x:t>
        </x:is>
      </x:c>
      <x:c r="B76" s="15" t="inlineStr">
        <x:is>
          <x:t xml:space="preserve">source_edge</x:t>
        </x:is>
      </x:c>
      <x:c r="C76" s="15" t="inlineStr">
        <x:is>
          <x:t xml:space="preserve">ev.p7.sun_evening_underworld_light</x:t>
        </x:is>
      </x:c>
      <x:c r="D76" s="15" t="inlineStr">
        <x:is>
          <x:t xml:space="preserve">вечерний ход солнца за море с несением света</x:t>
        </x:is>
      </x:c>
      <x:c r="E76" s="15" t="inlineStr">
        <x:is>
          <x:t xml:space="preserve">event</x:t>
        </x:is>
      </x:c>
      <x:c r="F76" s="15" t="inlineStr">
        <x:is>
          <x:t xml:space="preserve">occurs_in</x:t>
        </x:is>
      </x:c>
      <x:c r="G76" s="15" t="inlineStr">
        <x:is>
          <x:t xml:space="preserve">происходит в</x:t>
        </x:is>
      </x:c>
      <x:c r="H76" s="15" t="inlineStr">
        <x:is>
          <x:t xml:space="preserve">n.evening</x:t>
        </x:is>
      </x:c>
      <x:c r="I76" s="15" t="inlineStr">
        <x:is>
          <x:t xml:space="preserve">вечер</x:t>
        </x:is>
      </x:c>
      <x:c r="J76" s="15" t="inlineStr">
        <x:is>
          <x:t xml:space="preserve">time-symbol</x:t>
        </x:is>
      </x:c>
      <x:c r="K76" s="15" t="inlineStr">
        <x:is>
          <x:t xml:space="preserve">source_linked</x:t>
        </x:is>
      </x:c>
      <x:c r="L76" s="15" t="inlineStr">
        <x:is>
          <x:t xml:space="preserve">1,1,1,7</x:t>
        </x:is>
      </x:c>
      <x:c r="M76" s="15" t="inlineStr">
        <x:is>
          <x:t xml:space="preserve"/>
        </x:is>
      </x:c>
      <x:c r="N76" s="15" t="n">
        <x:v>7</x:v>
      </x:c>
      <x:c r="O76" s="15" t="n">
        <x:v>7</x:v>
      </x:c>
      <x:c r="P76" s="15" t="inlineStr">
        <x:is>
          <x:t xml:space="preserve">[7]</x:t>
        </x:is>
      </x:c>
      <x:c r="Q76" s="15" t="inlineStr">
        <x:is>
          <x:t xml:space="preserve">|p7|</x:t>
        </x:is>
      </x:c>
      <x:c r="R76" s="15" t="inlineStr">
        <x:is>
          <x:t xml:space="preserve">seg.1.1.1.7</x:t>
        </x:is>
      </x:c>
      <x:c r="S76" s="15" t="inlineStr">
        <x:is>
          <x:t xml:space="preserve">de+ru+en</x:t>
        </x:is>
      </x:c>
      <x:c r="T76" s="15" t="inlineStr">
        <x:is>
          <x:t xml:space="preserve">local_chain</x:t>
        </x:is>
      </x:c>
      <x:c r="U76" s="15" t="inlineStr">
        <x:is>
          <x:t xml:space="preserve"/>
        </x:is>
      </x:c>
    </x:row>
    <x:row r="77" ht="30" customHeight="1">
      <x:c r="A77" s="15" t="inlineStr">
        <x:is>
          <x:t xml:space="preserve">m066</x:t>
        </x:is>
      </x:c>
      <x:c r="B77" s="15" t="inlineStr">
        <x:is>
          <x:t xml:space="preserve">source_edge</x:t>
        </x:is>
      </x:c>
      <x:c r="C77" s="15" t="inlineStr">
        <x:is>
          <x:t xml:space="preserve">ev.p7.sun_evening_underworld_light</x:t>
        </x:is>
      </x:c>
      <x:c r="D77" s="15" t="inlineStr">
        <x:is>
          <x:t xml:space="preserve">вечерний ход солнца за море с несением света</x:t>
        </x:is>
      </x:c>
      <x:c r="E77" s="15" t="inlineStr">
        <x:is>
          <x:t xml:space="preserve">event</x:t>
        </x:is>
      </x:c>
      <x:c r="F77" s="15" t="inlineStr">
        <x:is>
          <x:t xml:space="preserve">moves_beyond</x:t>
        </x:is>
      </x:c>
      <x:c r="G77" s="15" t="inlineStr">
        <x:is>
          <x:t xml:space="preserve">уходит за</x:t>
        </x:is>
      </x:c>
      <x:c r="H77" s="15" t="inlineStr">
        <x:is>
          <x:t xml:space="preserve">n.sea</x:t>
        </x:is>
      </x:c>
      <x:c r="I77" s="15" t="inlineStr">
        <x:is>
          <x:t xml:space="preserve">море</x:t>
        </x:is>
      </x:c>
      <x:c r="J77" s="15" t="inlineStr">
        <x:is>
          <x:t xml:space="preserve">threshold-place</x:t>
        </x:is>
      </x:c>
      <x:c r="K77" s="15" t="inlineStr">
        <x:is>
          <x:t xml:space="preserve">source_linked</x:t>
        </x:is>
      </x:c>
      <x:c r="L77" s="15" t="inlineStr">
        <x:is>
          <x:t xml:space="preserve">1,1,1,7</x:t>
        </x:is>
      </x:c>
      <x:c r="M77" s="15" t="inlineStr">
        <x:is>
          <x:t xml:space="preserve"/>
        </x:is>
      </x:c>
      <x:c r="N77" s="15" t="n">
        <x:v>7</x:v>
      </x:c>
      <x:c r="O77" s="15" t="n">
        <x:v>7</x:v>
      </x:c>
      <x:c r="P77" s="15" t="inlineStr">
        <x:is>
          <x:t xml:space="preserve">[7]</x:t>
        </x:is>
      </x:c>
      <x:c r="Q77" s="15" t="inlineStr">
        <x:is>
          <x:t xml:space="preserve">|p7|</x:t>
        </x:is>
      </x:c>
      <x:c r="R77" s="15" t="inlineStr">
        <x:is>
          <x:t xml:space="preserve">seg.1.1.1.7</x:t>
        </x:is>
      </x:c>
      <x:c r="S77" s="15" t="inlineStr">
        <x:is>
          <x:t xml:space="preserve">de+ru+en</x:t>
        </x:is>
      </x:c>
      <x:c r="T77" s="15" t="inlineStr">
        <x:is>
          <x:t xml:space="preserve">local_chain</x:t>
        </x:is>
      </x:c>
      <x:c r="U77" s="15" t="inlineStr">
        <x:is>
          <x:t xml:space="preserve"/>
        </x:is>
      </x:c>
    </x:row>
    <x:row r="78" ht="30" customHeight="1">
      <x:c r="A78" s="15" t="inlineStr">
        <x:is>
          <x:t xml:space="preserve">m067</x:t>
        </x:is>
      </x:c>
      <x:c r="B78" s="15" t="inlineStr">
        <x:is>
          <x:t xml:space="preserve">source_edge</x:t>
        </x:is>
      </x:c>
      <x:c r="C78" s="15" t="inlineStr">
        <x:is>
          <x:t xml:space="preserve">ev.p7.sun_evening_underworld_light</x:t>
        </x:is>
      </x:c>
      <x:c r="D78" s="15" t="inlineStr">
        <x:is>
          <x:t xml:space="preserve">вечерний ход солнца за море с несением света</x:t>
        </x:is>
      </x:c>
      <x:c r="E78" s="15" t="inlineStr">
        <x:is>
          <x:t xml:space="preserve">event</x:t>
        </x:is>
      </x:c>
      <x:c r="F78" s="15" t="inlineStr">
        <x:is>
          <x:t xml:space="preserve">carries</x:t>
        </x:is>
      </x:c>
      <x:c r="G78" s="15" t="inlineStr">
        <x:is>
          <x:t xml:space="preserve">несёт</x:t>
        </x:is>
      </x:c>
      <x:c r="H78" s="15" t="inlineStr">
        <x:is>
          <x:t xml:space="preserve">n.light</x:t>
        </x:is>
      </x:c>
      <x:c r="I78" s="15" t="inlineStr">
        <x:is>
          <x:t xml:space="preserve">свет</x:t>
        </x:is>
      </x:c>
      <x:c r="J78" s="15" t="inlineStr">
        <x:is>
          <x:t xml:space="preserve">quality-substance</x:t>
        </x:is>
      </x:c>
      <x:c r="K78" s="15" t="inlineStr">
        <x:is>
          <x:t xml:space="preserve">source_linked</x:t>
        </x:is>
      </x:c>
      <x:c r="L78" s="15" t="inlineStr">
        <x:is>
          <x:t xml:space="preserve">1,1,1,7</x:t>
        </x:is>
      </x:c>
      <x:c r="M78" s="15" t="inlineStr">
        <x:is>
          <x:t xml:space="preserve"/>
        </x:is>
      </x:c>
      <x:c r="N78" s="15" t="n">
        <x:v>7</x:v>
      </x:c>
      <x:c r="O78" s="15" t="n">
        <x:v>7</x:v>
      </x:c>
      <x:c r="P78" s="15" t="inlineStr">
        <x:is>
          <x:t xml:space="preserve">[7]</x:t>
        </x:is>
      </x:c>
      <x:c r="Q78" s="15" t="inlineStr">
        <x:is>
          <x:t xml:space="preserve">|p7|</x:t>
        </x:is>
      </x:c>
      <x:c r="R78" s="15" t="inlineStr">
        <x:is>
          <x:t xml:space="preserve">seg.1.1.1.7</x:t>
        </x:is>
      </x:c>
      <x:c r="S78" s="15" t="inlineStr">
        <x:is>
          <x:t xml:space="preserve">de+ru+en</x:t>
        </x:is>
      </x:c>
      <x:c r="T78" s="15" t="inlineStr">
        <x:is>
          <x:t xml:space="preserve">local_chain</x:t>
        </x:is>
      </x:c>
      <x:c r="U78" s="15" t="inlineStr">
        <x:is>
          <x:t xml:space="preserve"/>
        </x:is>
      </x:c>
    </x:row>
    <x:row r="79" ht="30" customHeight="1">
      <x:c r="A79" s="15" t="inlineStr">
        <x:is>
          <x:t xml:space="preserve">m068</x:t>
        </x:is>
      </x:c>
      <x:c r="B79" s="15" t="inlineStr">
        <x:is>
          <x:t xml:space="preserve">source_edge</x:t>
        </x:is>
      </x:c>
      <x:c r="C79" s="15" t="inlineStr">
        <x:is>
          <x:t xml:space="preserve">ev.p7.sun_evening_underworld_light</x:t>
        </x:is>
      </x:c>
      <x:c r="D79" s="15" t="inlineStr">
        <x:is>
          <x:t xml:space="preserve">вечерний ход солнца за море с несением света</x:t>
        </x:is>
      </x:c>
      <x:c r="E79" s="15" t="inlineStr">
        <x:is>
          <x:t xml:space="preserve">event</x:t>
        </x:is>
      </x:c>
      <x:c r="F79" s="15" t="inlineStr">
        <x:is>
          <x:t xml:space="preserve">destination</x:t>
        </x:is>
      </x:c>
      <x:c r="G79" s="15" t="inlineStr">
        <x:is>
          <x:t xml:space="preserve">направляется в</x:t>
        </x:is>
      </x:c>
      <x:c r="H79" s="15" t="inlineStr">
        <x:is>
          <x:t xml:space="preserve">n.underworld</x:t>
        </x:is>
      </x:c>
      <x:c r="I79" s="15" t="inlineStr">
        <x:is>
          <x:t xml:space="preserve">подземный мир</x:t>
        </x:is>
      </x:c>
      <x:c r="J79" s="15" t="inlineStr">
        <x:is>
          <x:t xml:space="preserve">underworld-domain</x:t>
        </x:is>
      </x:c>
      <x:c r="K79" s="15" t="inlineStr">
        <x:is>
          <x:t xml:space="preserve">source_linked</x:t>
        </x:is>
      </x:c>
      <x:c r="L79" s="15" t="inlineStr">
        <x:is>
          <x:t xml:space="preserve">1,1,1,7</x:t>
        </x:is>
      </x:c>
      <x:c r="M79" s="15" t="inlineStr">
        <x:is>
          <x:t xml:space="preserve"/>
        </x:is>
      </x:c>
      <x:c r="N79" s="15" t="n">
        <x:v>7</x:v>
      </x:c>
      <x:c r="O79" s="15" t="n">
        <x:v>7</x:v>
      </x:c>
      <x:c r="P79" s="15" t="inlineStr">
        <x:is>
          <x:t xml:space="preserve">[7]</x:t>
        </x:is>
      </x:c>
      <x:c r="Q79" s="15" t="inlineStr">
        <x:is>
          <x:t xml:space="preserve">|p7|</x:t>
        </x:is>
      </x:c>
      <x:c r="R79" s="15" t="inlineStr">
        <x:is>
          <x:t xml:space="preserve">seg.1.1.1.7</x:t>
        </x:is>
      </x:c>
      <x:c r="S79" s="15" t="inlineStr">
        <x:is>
          <x:t xml:space="preserve">de+ru+en</x:t>
        </x:is>
      </x:c>
      <x:c r="T79" s="15" t="inlineStr">
        <x:is>
          <x:t xml:space="preserve">local_chain</x:t>
        </x:is>
      </x:c>
      <x:c r="U79" s="15" t="inlineStr">
        <x:is>
          <x:t xml:space="preserve"/>
        </x:is>
      </x:c>
    </x:row>
    <x:row r="80" ht="30" customHeight="1">
      <x:c r="A80" s="15" t="inlineStr">
        <x:is>
          <x:t xml:space="preserve">m069</x:t>
        </x:is>
      </x:c>
      <x:c r="B80" s="15" t="inlineStr">
        <x:is>
          <x:t xml:space="preserve">source_edge</x:t>
        </x:is>
      </x:c>
      <x:c r="C80" s="15" t="inlineStr">
        <x:is>
          <x:t xml:space="preserve">ev.p7_8.descent_named_as_go_under</x:t>
        </x:is>
      </x:c>
      <x:c r="D80" s="15" t="inlineStr">
        <x:is>
          <x:t xml:space="preserve">нисхождение, названное закатом</x:t>
        </x:is>
      </x:c>
      <x:c r="E80" s="15" t="inlineStr">
        <x:is>
          <x:t xml:space="preserve">event</x:t>
        </x:is>
      </x:c>
      <x:c r="F80" s="15" t="inlineStr">
        <x:is>
          <x:t xml:space="preserve">parallels</x:t>
        </x:is>
      </x:c>
      <x:c r="G80" s="15" t="inlineStr">
        <x:is>
          <x:t xml:space="preserve">параллелен</x:t>
        </x:is>
      </x:c>
      <x:c r="H80" s="15" t="inlineStr">
        <x:is>
          <x:t xml:space="preserve">ev.p7.descend_into_depth</x:t>
        </x:is>
      </x:c>
      <x:c r="I80" s="15" t="inlineStr">
        <x:is>
          <x:t xml:space="preserve">спуск в глубину</x:t>
        </x:is>
      </x:c>
      <x:c r="J80" s="15" t="inlineStr">
        <x:is>
          <x:t xml:space="preserve">event</x:t>
        </x:is>
      </x:c>
      <x:c r="K80" s="15" t="inlineStr">
        <x:is>
          <x:t xml:space="preserve">source_linked</x:t>
        </x:is>
      </x:c>
      <x:c r="L80" s="15" t="inlineStr">
        <x:is>
          <x:t xml:space="preserve">1,1,1,7</x:t>
        </x:is>
      </x:c>
      <x:c r="M80" s="15" t="inlineStr">
        <x:is>
          <x:t xml:space="preserve">1,1,1,8</x:t>
        </x:is>
      </x:c>
      <x:c r="N80" s="15" t="n">
        <x:v>7</x:v>
      </x:c>
      <x:c r="O80" s="15" t="n">
        <x:v>8</x:v>
      </x:c>
      <x:c r="P80" s="15" t="inlineStr">
        <x:is>
          <x:t xml:space="preserve">[7]-[8]</x:t>
        </x:is>
      </x:c>
      <x:c r="Q80" s="15" t="inlineStr">
        <x:is>
          <x:t xml:space="preserve">|p7|p8|</x:t>
        </x:is>
      </x:c>
      <x:c r="R80" s="15" t="inlineStr">
        <x:is>
          <x:t xml:space="preserve">seg.1.1.1.7|seg.1.1.1.8</x:t>
        </x:is>
      </x:c>
      <x:c r="S80" s="15" t="inlineStr">
        <x:is>
          <x:t xml:space="preserve">de+ru+en</x:t>
        </x:is>
      </x:c>
      <x:c r="T80" s="15" t="inlineStr">
        <x:is>
          <x:t xml:space="preserve">multi_anchor</x:t>
        </x:is>
      </x:c>
      <x:c r="U80" s="15" t="inlineStr">
        <x:is>
          <x:t xml:space="preserve"/>
        </x:is>
      </x:c>
    </x:row>
    <x:row r="81" ht="30" customHeight="1">
      <x:c r="A81" s="15" t="inlineStr">
        <x:is>
          <x:t xml:space="preserve">m070</x:t>
        </x:is>
      </x:c>
      <x:c r="B81" s="15" t="inlineStr">
        <x:is>
          <x:t xml:space="preserve">source_edge</x:t>
        </x:is>
      </x:c>
      <x:c r="C81" s="15" t="inlineStr">
        <x:is>
          <x:t xml:space="preserve">ev.p7_8.descent_named_as_go_under</x:t>
        </x:is>
      </x:c>
      <x:c r="D81" s="15" t="inlineStr">
        <x:is>
          <x:t xml:space="preserve">нисхождение, названное закатом</x:t>
        </x:is>
      </x:c>
      <x:c r="E81" s="15" t="inlineStr">
        <x:is>
          <x:t xml:space="preserve">event</x:t>
        </x:is>
      </x:c>
      <x:c r="F81" s="15" t="inlineStr">
        <x:is>
          <x:t xml:space="preserve">uses_surface</x:t>
        </x:is>
      </x:c>
      <x:c r="G81" s="15" t="inlineStr">
        <x:is>
          <x:t xml:space="preserve">использует языковую поверхность</x:t>
        </x:is>
      </x:c>
      <x:c r="H81" s="15" t="inlineStr">
        <x:is>
          <x:t xml:space="preserve">n.go_under</x:t>
        </x:is>
      </x:c>
      <x:c r="I81" s="15" t="inlineStr">
        <x:is>
          <x:t xml:space="preserve">закатиться / untergehen / go under</x:t>
        </x:is>
      </x:c>
      <x:c r="J81" s="15" t="inlineStr">
        <x:is>
          <x:t xml:space="preserve">hinge-term</x:t>
        </x:is>
      </x:c>
      <x:c r="K81" s="15" t="inlineStr">
        <x:is>
          <x:t xml:space="preserve">source_linked</x:t>
        </x:is>
      </x:c>
      <x:c r="L81" s="15" t="inlineStr">
        <x:is>
          <x:t xml:space="preserve">1,1,1,7</x:t>
        </x:is>
      </x:c>
      <x:c r="M81" s="15" t="inlineStr">
        <x:is>
          <x:t xml:space="preserve">1,1,1,8</x:t>
        </x:is>
      </x:c>
      <x:c r="N81" s="15" t="n">
        <x:v>7</x:v>
      </x:c>
      <x:c r="O81" s="15" t="n">
        <x:v>8</x:v>
      </x:c>
      <x:c r="P81" s="15" t="inlineStr">
        <x:is>
          <x:t xml:space="preserve">[7]-[8]</x:t>
        </x:is>
      </x:c>
      <x:c r="Q81" s="15" t="inlineStr">
        <x:is>
          <x:t xml:space="preserve">|p7|p8|</x:t>
        </x:is>
      </x:c>
      <x:c r="R81" s="15" t="inlineStr">
        <x:is>
          <x:t xml:space="preserve">seg.1.1.1.7|seg.1.1.1.8</x:t>
        </x:is>
      </x:c>
      <x:c r="S81" s="15" t="inlineStr">
        <x:is>
          <x:t xml:space="preserve">de+ru+en</x:t>
        </x:is>
      </x:c>
      <x:c r="T81" s="15" t="inlineStr">
        <x:is>
          <x:t xml:space="preserve">multi_anchor</x:t>
        </x:is>
      </x:c>
      <x:c r="U81" s="15" t="inlineStr">
        <x:is>
          <x:t xml:space="preserve"/>
        </x:is>
      </x:c>
    </x:row>
    <x:row r="82" ht="30" customHeight="1">
      <x:c r="A82" s="15" t="inlineStr">
        <x:is>
          <x:t xml:space="preserve">m071</x:t>
        </x:is>
      </x:c>
      <x:c r="B82" s="15" t="inlineStr">
        <x:is>
          <x:t xml:space="preserve">source_edge</x:t>
        </x:is>
      </x:c>
      <x:c r="C82" s="15" t="inlineStr">
        <x:is>
          <x:t xml:space="preserve">n.humans</x:t>
        </x:is>
      </x:c>
      <x:c r="D82" s="15" t="inlineStr">
        <x:is>
          <x:t xml:space="preserve">люди</x:t>
        </x:is>
      </x:c>
      <x:c r="E82" s="15" t="inlineStr">
        <x:is>
          <x:t xml:space="preserve">relational_group</x:t>
        </x:is>
      </x:c>
      <x:c r="F82" s="15" t="inlineStr">
        <x:is>
          <x:t xml:space="preserve">names_descent_as</x:t>
        </x:is>
      </x:c>
      <x:c r="G82" s="15" t="inlineStr">
        <x:is>
          <x:t xml:space="preserve">называет нисхождение как</x:t>
        </x:is>
      </x:c>
      <x:c r="H82" s="15" t="inlineStr">
        <x:is>
          <x:t xml:space="preserve">n.go_under</x:t>
        </x:is>
      </x:c>
      <x:c r="I82" s="15" t="inlineStr">
        <x:is>
          <x:t xml:space="preserve">закатиться / untergehen / go under</x:t>
        </x:is>
      </x:c>
      <x:c r="J82" s="15" t="inlineStr">
        <x:is>
          <x:t xml:space="preserve">hinge-term</x:t>
        </x:is>
      </x:c>
      <x:c r="K82" s="15" t="inlineStr">
        <x:is>
          <x:t xml:space="preserve">source_linked</x:t>
        </x:is>
      </x:c>
      <x:c r="L82" s="15" t="inlineStr">
        <x:is>
          <x:t xml:space="preserve">1,1,1,8</x:t>
        </x:is>
      </x:c>
      <x:c r="M82" s="15" t="inlineStr">
        <x:is>
          <x:t xml:space="preserve"/>
        </x:is>
      </x:c>
      <x:c r="N82" s="15" t="n">
        <x:v>8</x:v>
      </x:c>
      <x:c r="O82" s="15" t="n">
        <x:v>8</x:v>
      </x:c>
      <x:c r="P82" s="15" t="inlineStr">
        <x:is>
          <x:t xml:space="preserve">[8]</x:t>
        </x:is>
      </x:c>
      <x:c r="Q82" s="15" t="inlineStr">
        <x:is>
          <x:t xml:space="preserve">|p8|</x:t>
        </x:is>
      </x:c>
      <x:c r="R82" s="15" t="inlineStr">
        <x:is>
          <x:t xml:space="preserve">seg.1.1.1.8</x:t>
        </x:is>
      </x:c>
      <x:c r="S82" s="15" t="inlineStr">
        <x:is>
          <x:t xml:space="preserve">de+ru+en</x:t>
        </x:is>
      </x:c>
      <x:c r="T82" s="15" t="inlineStr">
        <x:is>
          <x:t xml:space="preserve">local_chain</x:t>
        </x:is>
      </x:c>
      <x:c r="U82" s="15" t="inlineStr">
        <x:is>
          <x:t xml:space="preserve">человеческое имя для нисхождения</x:t>
        </x:is>
      </x:c>
    </x:row>
    <x:row r="83" ht="30" customHeight="1">
      <x:c r="A83" s="15" t="inlineStr">
        <x:is>
          <x:t xml:space="preserve">m072</x:t>
        </x:is>
      </x:c>
      <x:c r="B83" s="15" t="inlineStr">
        <x:is>
          <x:t xml:space="preserve">source_edge</x:t>
        </x:is>
      </x:c>
      <x:c r="C83" s="15" t="inlineStr">
        <x:is>
          <x:t xml:space="preserve">n.zarathustra</x:t>
        </x:is>
      </x:c>
      <x:c r="D83" s="15" t="inlineStr">
        <x:is>
          <x:t xml:space="preserve">Заратустра</x:t>
        </x:is>
      </x:c>
      <x:c r="E83" s="15" t="inlineStr">
        <x:is>
          <x:t xml:space="preserve">persona</x:t>
        </x:is>
      </x:c>
      <x:c r="F83" s="15" t="inlineStr">
        <x:is>
          <x:t xml:space="preserve">performs</x:t>
        </x:is>
      </x:c>
      <x:c r="G83" s="15" t="inlineStr">
        <x:is>
          <x:t xml:space="preserve">совершает</x:t>
        </x:is>
      </x:c>
      <x:c r="H83" s="15" t="inlineStr">
        <x:is>
          <x:t xml:space="preserve">ev.p8.go_under_to_humans</x:t>
        </x:is>
      </x:c>
      <x:c r="I83" s="15" t="inlineStr">
        <x:is>
          <x:t xml:space="preserve">закатиться к людям</x:t>
        </x:is>
      </x:c>
      <x:c r="J83" s="15" t="inlineStr">
        <x:is>
          <x:t xml:space="preserve">event</x:t>
        </x:is>
      </x:c>
      <x:c r="K83" s="15" t="inlineStr">
        <x:is>
          <x:t xml:space="preserve">source_linked</x:t>
        </x:is>
      </x:c>
      <x:c r="L83" s="15" t="inlineStr">
        <x:is>
          <x:t xml:space="preserve">1,1,1,8</x:t>
        </x:is>
      </x:c>
      <x:c r="M83" s="15" t="inlineStr">
        <x:is>
          <x:t xml:space="preserve"/>
        </x:is>
      </x:c>
      <x:c r="N83" s="15" t="n">
        <x:v>8</x:v>
      </x:c>
      <x:c r="O83" s="15" t="n">
        <x:v>8</x:v>
      </x:c>
      <x:c r="P83" s="15" t="inlineStr">
        <x:is>
          <x:t xml:space="preserve">[8]</x:t>
        </x:is>
      </x:c>
      <x:c r="Q83" s="15" t="inlineStr">
        <x:is>
          <x:t xml:space="preserve">|p8|</x:t>
        </x:is>
      </x:c>
      <x:c r="R83" s="15" t="inlineStr">
        <x:is>
          <x:t xml:space="preserve">seg.1.1.1.8</x:t>
        </x:is>
      </x:c>
      <x:c r="S83" s="15" t="inlineStr">
        <x:is>
          <x:t xml:space="preserve">de+ru+en</x:t>
        </x:is>
      </x:c>
      <x:c r="T83" s="15" t="inlineStr">
        <x:is>
          <x:t xml:space="preserve">local_chain</x:t>
        </x:is>
      </x:c>
      <x:c r="U83" s="15" t="inlineStr">
        <x:is>
          <x:t xml:space="preserve"/>
        </x:is>
      </x:c>
    </x:row>
    <x:row r="84" ht="30" customHeight="1">
      <x:c r="A84" s="15" t="inlineStr">
        <x:is>
          <x:t xml:space="preserve">m073</x:t>
        </x:is>
      </x:c>
      <x:c r="B84" s="15" t="inlineStr">
        <x:is>
          <x:t xml:space="preserve">source_edge</x:t>
        </x:is>
      </x:c>
      <x:c r="C84" s="15" t="inlineStr">
        <x:is>
          <x:t xml:space="preserve">ev.p8.go_under_to_humans</x:t>
        </x:is>
      </x:c>
      <x:c r="D84" s="15" t="inlineStr">
        <x:is>
          <x:t xml:space="preserve">закатиться к людям</x:t>
        </x:is>
      </x:c>
      <x:c r="E84" s="15" t="inlineStr">
        <x:is>
          <x:t xml:space="preserve">event</x:t>
        </x:is>
      </x:c>
      <x:c r="F84" s="15" t="inlineStr">
        <x:is>
          <x:t xml:space="preserve">targets</x:t>
        </x:is>
      </x:c>
      <x:c r="G84" s="15" t="inlineStr">
        <x:is>
          <x:t xml:space="preserve">направлено к</x:t>
        </x:is>
      </x:c>
      <x:c r="H84" s="15" t="inlineStr">
        <x:is>
          <x:t xml:space="preserve">n.humans</x:t>
        </x:is>
      </x:c>
      <x:c r="I84" s="15" t="inlineStr">
        <x:is>
          <x:t xml:space="preserve">люди</x:t>
        </x:is>
      </x:c>
      <x:c r="J84" s="15" t="inlineStr">
        <x:is>
          <x:t xml:space="preserve">relational_group</x:t>
        </x:is>
      </x:c>
      <x:c r="K84" s="15" t="inlineStr">
        <x:is>
          <x:t xml:space="preserve">source_linked</x:t>
        </x:is>
      </x:c>
      <x:c r="L84" s="15" t="inlineStr">
        <x:is>
          <x:t xml:space="preserve">1,1,1,8</x:t>
        </x:is>
      </x:c>
      <x:c r="M84" s="15" t="inlineStr">
        <x:is>
          <x:t xml:space="preserve"/>
        </x:is>
      </x:c>
      <x:c r="N84" s="15" t="n">
        <x:v>8</x:v>
      </x:c>
      <x:c r="O84" s="15" t="n">
        <x:v>8</x:v>
      </x:c>
      <x:c r="P84" s="15" t="inlineStr">
        <x:is>
          <x:t xml:space="preserve">[8]</x:t>
        </x:is>
      </x:c>
      <x:c r="Q84" s="15" t="inlineStr">
        <x:is>
          <x:t xml:space="preserve">|p8|</x:t>
        </x:is>
      </x:c>
      <x:c r="R84" s="15" t="inlineStr">
        <x:is>
          <x:t xml:space="preserve">seg.1.1.1.8</x:t>
        </x:is>
      </x:c>
      <x:c r="S84" s="15" t="inlineStr">
        <x:is>
          <x:t xml:space="preserve">de+ru+en</x:t>
        </x:is>
      </x:c>
      <x:c r="T84" s="15" t="inlineStr">
        <x:is>
          <x:t xml:space="preserve">local_chain</x:t>
        </x:is>
      </x:c>
      <x:c r="U84" s="15" t="inlineStr">
        <x:is>
          <x:t xml:space="preserve"/>
        </x:is>
      </x:c>
    </x:row>
    <x:row r="85" ht="30" customHeight="1">
      <x:c r="A85" s="15" t="inlineStr">
        <x:is>
          <x:t xml:space="preserve">m074</x:t>
        </x:is>
      </x:c>
      <x:c r="B85" s="15" t="inlineStr">
        <x:is>
          <x:t xml:space="preserve">source_edge</x:t>
        </x:is>
      </x:c>
      <x:c r="C85" s="15" t="inlineStr">
        <x:is>
          <x:t xml:space="preserve">ev.p8.go_under_to_humans</x:t>
        </x:is>
      </x:c>
      <x:c r="D85" s="15" t="inlineStr">
        <x:is>
          <x:t xml:space="preserve">закатиться к людям</x:t>
        </x:is>
      </x:c>
      <x:c r="E85" s="15" t="inlineStr">
        <x:is>
          <x:t xml:space="preserve">event</x:t>
        </x:is>
      </x:c>
      <x:c r="F85" s="15" t="inlineStr">
        <x:is>
          <x:t xml:space="preserve">mirrors</x:t>
        </x:is>
      </x:c>
      <x:c r="G85" s="15" t="inlineStr">
        <x:is>
          <x:t xml:space="preserve">отзеркаливает</x:t>
        </x:is>
      </x:c>
      <x:c r="H85" s="15" t="inlineStr">
        <x:is>
          <x:t xml:space="preserve">ev.p7.sun_evening_underworld_light</x:t>
        </x:is>
      </x:c>
      <x:c r="I85" s="15" t="inlineStr">
        <x:is>
          <x:t xml:space="preserve">вечерний ход солнца за море с несением света</x:t>
        </x:is>
      </x:c>
      <x:c r="J85" s="15" t="inlineStr">
        <x:is>
          <x:t xml:space="preserve">event</x:t>
        </x:is>
      </x:c>
      <x:c r="K85" s="15" t="inlineStr">
        <x:is>
          <x:t xml:space="preserve">source_linked</x:t>
        </x:is>
      </x:c>
      <x:c r="L85" s="15" t="inlineStr">
        <x:is>
          <x:t xml:space="preserve">1,1,1,7</x:t>
        </x:is>
      </x:c>
      <x:c r="M85" s="15" t="inlineStr">
        <x:is>
          <x:t xml:space="preserve">1,1,1,8</x:t>
        </x:is>
      </x:c>
      <x:c r="N85" s="15" t="n">
        <x:v>7</x:v>
      </x:c>
      <x:c r="O85" s="15" t="n">
        <x:v>8</x:v>
      </x:c>
      <x:c r="P85" s="15" t="inlineStr">
        <x:is>
          <x:t xml:space="preserve">[7]-[8]</x:t>
        </x:is>
      </x:c>
      <x:c r="Q85" s="15" t="inlineStr">
        <x:is>
          <x:t xml:space="preserve">|p7|p8|</x:t>
        </x:is>
      </x:c>
      <x:c r="R85" s="15" t="inlineStr">
        <x:is>
          <x:t xml:space="preserve">seg.1.1.1.7|seg.1.1.1.8</x:t>
        </x:is>
      </x:c>
      <x:c r="S85" s="15" t="inlineStr">
        <x:is>
          <x:t xml:space="preserve">de+ru+en</x:t>
        </x:is>
      </x:c>
      <x:c r="T85" s="15" t="inlineStr">
        <x:is>
          <x:t xml:space="preserve">reasoning_bridge</x:t>
        </x:is>
      </x:c>
      <x:c r="U85" s="15" t="inlineStr">
        <x:is>
          <x:t xml:space="preserve"/>
        </x:is>
      </x:c>
    </x:row>
    <x:row r="86" ht="30" customHeight="1">
      <x:c r="A86" s="16" t="inlineStr">
        <x:is>
          <x:t xml:space="preserve">m075</x:t>
        </x:is>
      </x:c>
      <x:c r="B86" s="16" t="inlineStr">
        <x:is>
          <x:t xml:space="preserve">bridge_edge</x:t>
        </x:is>
      </x:c>
      <x:c r="C86" s="16" t="inlineStr">
        <x:is>
          <x:t xml:space="preserve">ev.p8.go_under_to_humans</x:t>
        </x:is>
      </x:c>
      <x:c r="D86" s="16" t="inlineStr">
        <x:is>
          <x:t xml:space="preserve">закатиться к людям</x:t>
        </x:is>
      </x:c>
      <x:c r="E86" s="16" t="inlineStr">
        <x:is>
          <x:t xml:space="preserve">event</x:t>
        </x:is>
      </x:c>
      <x:c r="F86" s="16" t="inlineStr">
        <x:is>
          <x:t xml:space="preserve">prepares</x:t>
        </x:is>
      </x:c>
      <x:c r="G86" s="16" t="inlineStr">
        <x:is>
          <x:t xml:space="preserve">подготавливает</x:t>
        </x:is>
      </x:c>
      <x:c r="H86" s="16" t="inlineStr">
        <x:is>
          <x:t xml:space="preserve">ev.p9.request_blessing_from_tranquil_eye</x:t>
        </x:is>
      </x:c>
      <x:c r="I86" s="16" t="inlineStr">
        <x:is>
          <x:t xml:space="preserve">просьба о благословении к спокойному оку</x:t>
        </x:is>
      </x:c>
      <x:c r="J86" s="16" t="inlineStr">
        <x:is>
          <x:t xml:space="preserve">event</x:t>
        </x:is>
      </x:c>
      <x:c r="K86" s="16" t="inlineStr">
        <x:is>
          <x:t xml:space="preserve">source_linked</x:t>
        </x:is>
      </x:c>
      <x:c r="L86" s="16" t="inlineStr">
        <x:is>
          <x:t xml:space="preserve">1,1,1,8</x:t>
        </x:is>
      </x:c>
      <x:c r="M86" s="16" t="inlineStr">
        <x:is>
          <x:t xml:space="preserve">1,1,1,9</x:t>
        </x:is>
      </x:c>
      <x:c r="N86" s="16" t="n">
        <x:v>8</x:v>
      </x:c>
      <x:c r="O86" s="16" t="n">
        <x:v>9</x:v>
      </x:c>
      <x:c r="P86" s="16" t="inlineStr">
        <x:is>
          <x:t xml:space="preserve">[8]-[9]</x:t>
        </x:is>
      </x:c>
      <x:c r="Q86" s="16" t="inlineStr">
        <x:is>
          <x:t xml:space="preserve">|p8|p9|</x:t>
        </x:is>
      </x:c>
      <x:c r="R86" s="16" t="inlineStr">
        <x:is>
          <x:t xml:space="preserve">seg.1.1.1.8|seg.1.1.1.9</x:t>
        </x:is>
      </x:c>
      <x:c r="S86" s="16" t="inlineStr">
        <x:is>
          <x:t xml:space="preserve">de+ru+en</x:t>
        </x:is>
      </x:c>
      <x:c r="T86" s="16" t="inlineStr">
        <x:is>
          <x:t xml:space="preserve">reasoning_bridge</x:t>
        </x:is>
      </x:c>
      <x:c r="U86" s="16" t="inlineStr">
        <x:is>
          <x:t xml:space="preserve"/>
        </x:is>
      </x:c>
    </x:row>
    <x:row r="87" ht="30" customHeight="1">
      <x:c r="A87" s="15" t="inlineStr">
        <x:is>
          <x:t xml:space="preserve">m076</x:t>
        </x:is>
      </x:c>
      <x:c r="B87" s="15" t="inlineStr">
        <x:is>
          <x:t xml:space="preserve">source_edge</x:t>
        </x:is>
      </x:c>
      <x:c r="C87" s="15" t="inlineStr">
        <x:is>
          <x:t xml:space="preserve">n.zarathustra</x:t>
        </x:is>
      </x:c>
      <x:c r="D87" s="15" t="inlineStr">
        <x:is>
          <x:t xml:space="preserve">Заратустра</x:t>
        </x:is>
      </x:c>
      <x:c r="E87" s="15" t="inlineStr">
        <x:is>
          <x:t xml:space="preserve">persona</x:t>
        </x:is>
      </x:c>
      <x:c r="F87" s="15" t="inlineStr">
        <x:is>
          <x:t xml:space="preserve">performs</x:t>
        </x:is>
      </x:c>
      <x:c r="G87" s="15" t="inlineStr">
        <x:is>
          <x:t xml:space="preserve">совершает</x:t>
        </x:is>
      </x:c>
      <x:c r="H87" s="15" t="inlineStr">
        <x:is>
          <x:t xml:space="preserve">ev.p9.request_blessing_from_tranquil_eye</x:t>
        </x:is>
      </x:c>
      <x:c r="I87" s="15" t="inlineStr">
        <x:is>
          <x:t xml:space="preserve">просьба о благословении к спокойному оку</x:t>
        </x:is>
      </x:c>
      <x:c r="J87" s="15" t="inlineStr">
        <x:is>
          <x:t xml:space="preserve">event</x:t>
        </x:is>
      </x:c>
      <x:c r="K87" s="15" t="inlineStr">
        <x:is>
          <x:t xml:space="preserve">source_linked</x:t>
        </x:is>
      </x:c>
      <x:c r="L87" s="15" t="inlineStr">
        <x:is>
          <x:t xml:space="preserve">1,1,1,9</x:t>
        </x:is>
      </x:c>
      <x:c r="M87" s="15" t="inlineStr">
        <x:is>
          <x:t xml:space="preserve"/>
        </x:is>
      </x:c>
      <x:c r="N87" s="15" t="n">
        <x:v>9</x:v>
      </x:c>
      <x:c r="O87" s="15" t="n">
        <x:v>9</x:v>
      </x:c>
      <x:c r="P87" s="15" t="inlineStr">
        <x:is>
          <x:t xml:space="preserve">[9]</x:t>
        </x:is>
      </x:c>
      <x:c r="Q87" s="15" t="inlineStr">
        <x:is>
          <x:t xml:space="preserve">|p9|</x:t>
        </x:is>
      </x:c>
      <x:c r="R87" s="15" t="inlineStr">
        <x:is>
          <x:t xml:space="preserve">seg.1.1.1.9</x:t>
        </x:is>
      </x:c>
      <x:c r="S87" s="15" t="inlineStr">
        <x:is>
          <x:t xml:space="preserve">de+ru+en</x:t>
        </x:is>
      </x:c>
      <x:c r="T87" s="15" t="inlineStr">
        <x:is>
          <x:t xml:space="preserve">local_chain</x:t>
        </x:is>
      </x:c>
      <x:c r="U87" s="15" t="inlineStr">
        <x:is>
          <x:t xml:space="preserve"/>
        </x:is>
      </x:c>
    </x:row>
    <x:row r="88" ht="30" customHeight="1">
      <x:c r="A88" s="15" t="inlineStr">
        <x:is>
          <x:t xml:space="preserve">m077</x:t>
        </x:is>
      </x:c>
      <x:c r="B88" s="15" t="inlineStr">
        <x:is>
          <x:t xml:space="preserve">source_edge</x:t>
        </x:is>
      </x:c>
      <x:c r="C88" s="15" t="inlineStr">
        <x:is>
          <x:t xml:space="preserve">ev.p9.request_blessing_from_tranquil_eye</x:t>
        </x:is>
      </x:c>
      <x:c r="D88" s="15" t="inlineStr">
        <x:is>
          <x:t xml:space="preserve">просьба о благословении к спокойному оку</x:t>
        </x:is>
      </x:c>
      <x:c r="E88" s="15" t="inlineStr">
        <x:is>
          <x:t xml:space="preserve">event</x:t>
        </x:is>
      </x:c>
      <x:c r="F88" s="15" t="inlineStr">
        <x:is>
          <x:t xml:space="preserve">addresses</x:t>
        </x:is>
      </x:c>
      <x:c r="G88" s="15" t="inlineStr">
        <x:is>
          <x:t xml:space="preserve">обращается к</x:t>
        </x:is>
      </x:c>
      <x:c r="H88" s="15" t="inlineStr">
        <x:is>
          <x:t xml:space="preserve">n.tranquil_eye</x:t>
        </x:is>
      </x:c>
      <x:c r="I88" s="15" t="inlineStr">
        <x:is>
          <x:t xml:space="preserve">спокойное око</x:t>
        </x:is>
      </x:c>
      <x:c r="J88" s="15" t="inlineStr">
        <x:is>
          <x:t xml:space="preserve">solar-aspect</x:t>
        </x:is>
      </x:c>
      <x:c r="K88" s="15" t="inlineStr">
        <x:is>
          <x:t xml:space="preserve">source_linked</x:t>
        </x:is>
      </x:c>
      <x:c r="L88" s="15" t="inlineStr">
        <x:is>
          <x:t xml:space="preserve">1,1,1,9</x:t>
        </x:is>
      </x:c>
      <x:c r="M88" s="15" t="inlineStr">
        <x:is>
          <x:t xml:space="preserve"/>
        </x:is>
      </x:c>
      <x:c r="N88" s="15" t="n">
        <x:v>9</x:v>
      </x:c>
      <x:c r="O88" s="15" t="n">
        <x:v>9</x:v>
      </x:c>
      <x:c r="P88" s="15" t="inlineStr">
        <x:is>
          <x:t xml:space="preserve">[9]</x:t>
        </x:is>
      </x:c>
      <x:c r="Q88" s="15" t="inlineStr">
        <x:is>
          <x:t xml:space="preserve">|p9|</x:t>
        </x:is>
      </x:c>
      <x:c r="R88" s="15" t="inlineStr">
        <x:is>
          <x:t xml:space="preserve">seg.1.1.1.9</x:t>
        </x:is>
      </x:c>
      <x:c r="S88" s="15" t="inlineStr">
        <x:is>
          <x:t xml:space="preserve">de+ru+en</x:t>
        </x:is>
      </x:c>
      <x:c r="T88" s="15" t="inlineStr">
        <x:is>
          <x:t xml:space="preserve">local_chain</x:t>
        </x:is>
      </x:c>
      <x:c r="U88" s="15" t="inlineStr">
        <x:is>
          <x:t xml:space="preserve"/>
        </x:is>
      </x:c>
    </x:row>
    <x:row r="89" ht="30" customHeight="1">
      <x:c r="A89" s="15" t="inlineStr">
        <x:is>
          <x:t xml:space="preserve">m078</x:t>
        </x:is>
      </x:c>
      <x:c r="B89" s="15" t="inlineStr">
        <x:is>
          <x:t xml:space="preserve">source_edge</x:t>
        </x:is>
      </x:c>
      <x:c r="C89" s="15" t="inlineStr">
        <x:is>
          <x:t xml:space="preserve">n.tranquil_eye</x:t>
        </x:is>
      </x:c>
      <x:c r="D89" s="15" t="inlineStr">
        <x:is>
          <x:t xml:space="preserve">спокойное око</x:t>
        </x:is>
      </x:c>
      <x:c r="E89" s="15" t="inlineStr">
        <x:is>
          <x:t xml:space="preserve">solar-aspect</x:t>
        </x:is>
      </x:c>
      <x:c r="F89" s="15" t="inlineStr">
        <x:is>
          <x:t xml:space="preserve">aspect_of</x:t>
        </x:is>
      </x:c>
      <x:c r="G89" s="15" t="inlineStr">
        <x:is>
          <x:t xml:space="preserve">является аспектом</x:t>
        </x:is>
      </x:c>
      <x:c r="H89" s="15" t="inlineStr">
        <x:is>
          <x:t xml:space="preserve">n.sun</x:t>
        </x:is>
      </x:c>
      <x:c r="I89" s="15" t="inlineStr">
        <x:is>
          <x:t xml:space="preserve">солнце / великое светило</x:t>
        </x:is>
      </x:c>
      <x:c r="J89" s="15" t="inlineStr">
        <x:is>
          <x:t xml:space="preserve">cosmic_entity</x:t>
        </x:is>
      </x:c>
      <x:c r="K89" s="15" t="inlineStr">
        <x:is>
          <x:t xml:space="preserve">source_linked</x:t>
        </x:is>
      </x:c>
      <x:c r="L89" s="15" t="inlineStr">
        <x:is>
          <x:t xml:space="preserve">1,1,1,9</x:t>
        </x:is>
      </x:c>
      <x:c r="M89" s="15" t="inlineStr">
        <x:is>
          <x:t xml:space="preserve"/>
        </x:is>
      </x:c>
      <x:c r="N89" s="15" t="n">
        <x:v>9</x:v>
      </x:c>
      <x:c r="O89" s="15" t="n">
        <x:v>9</x:v>
      </x:c>
      <x:c r="P89" s="15" t="inlineStr">
        <x:is>
          <x:t xml:space="preserve">[9]</x:t>
        </x:is>
      </x:c>
      <x:c r="Q89" s="15" t="inlineStr">
        <x:is>
          <x:t xml:space="preserve">|p9|</x:t>
        </x:is>
      </x:c>
      <x:c r="R89" s="15" t="inlineStr">
        <x:is>
          <x:t xml:space="preserve">seg.1.1.1.9</x:t>
        </x:is>
      </x:c>
      <x:c r="S89" s="15" t="inlineStr">
        <x:is>
          <x:t xml:space="preserve">de+ru+en</x:t>
        </x:is>
      </x:c>
      <x:c r="T89" s="15" t="inlineStr">
        <x:is>
          <x:t xml:space="preserve">local_chain</x:t>
        </x:is>
      </x:c>
      <x:c r="U89" s="15" t="inlineStr">
        <x:is>
          <x:t xml:space="preserve">солнечный образ сужен до ока</x:t>
        </x:is>
      </x:c>
    </x:row>
    <x:row r="90" ht="30" customHeight="1">
      <x:c r="A90" s="15" t="inlineStr">
        <x:is>
          <x:t xml:space="preserve">m079</x:t>
        </x:is>
      </x:c>
      <x:c r="B90" s="15" t="inlineStr">
        <x:is>
          <x:t xml:space="preserve">source_edge</x:t>
        </x:is>
      </x:c>
      <x:c r="C90" s="15" t="inlineStr">
        <x:is>
          <x:t xml:space="preserve">n.tranquil_eye</x:t>
        </x:is>
      </x:c>
      <x:c r="D90" s="15" t="inlineStr">
        <x:is>
          <x:t xml:space="preserve">спокойное око</x:t>
        </x:is>
      </x:c>
      <x:c r="E90" s="15" t="inlineStr">
        <x:is>
          <x:t xml:space="preserve">solar-aspect</x:t>
        </x:is>
      </x:c>
      <x:c r="F90" s="15" t="inlineStr">
        <x:is>
          <x:t xml:space="preserve">participates_in</x:t>
        </x:is>
      </x:c>
      <x:c r="G90" s="15" t="inlineStr">
        <x:is>
          <x:t xml:space="preserve">участвует в</x:t>
        </x:is>
      </x:c>
      <x:c r="H90" s="15" t="inlineStr">
        <x:is>
          <x:t xml:space="preserve">st.p9.tranquil_eye_without_envy</x:t>
        </x:is>
      </x:c>
      <x:c r="I90" s="15" t="inlineStr">
        <x:is>
          <x:t xml:space="preserve">спокойное око без зависти</x:t>
        </x:is>
      </x:c>
      <x:c r="J90" s="15" t="inlineStr">
        <x:is>
          <x:t xml:space="preserve">state</x:t>
        </x:is>
      </x:c>
      <x:c r="K90" s="15" t="inlineStr">
        <x:is>
          <x:t xml:space="preserve">source_linked</x:t>
        </x:is>
      </x:c>
      <x:c r="L90" s="15" t="inlineStr">
        <x:is>
          <x:t xml:space="preserve">1,1,1,9</x:t>
        </x:is>
      </x:c>
      <x:c r="M90" s="15" t="inlineStr">
        <x:is>
          <x:t xml:space="preserve"/>
        </x:is>
      </x:c>
      <x:c r="N90" s="15" t="n">
        <x:v>9</x:v>
      </x:c>
      <x:c r="O90" s="15" t="n">
        <x:v>9</x:v>
      </x:c>
      <x:c r="P90" s="15" t="inlineStr">
        <x:is>
          <x:t xml:space="preserve">[9]</x:t>
        </x:is>
      </x:c>
      <x:c r="Q90" s="15" t="inlineStr">
        <x:is>
          <x:t xml:space="preserve">|p9|</x:t>
        </x:is>
      </x:c>
      <x:c r="R90" s="15" t="inlineStr">
        <x:is>
          <x:t xml:space="preserve">seg.1.1.1.9</x:t>
        </x:is>
      </x:c>
      <x:c r="S90" s="15" t="inlineStr">
        <x:is>
          <x:t xml:space="preserve">de+ru+en</x:t>
        </x:is>
      </x:c>
      <x:c r="T90" s="15" t="inlineStr">
        <x:is>
          <x:t xml:space="preserve">local_chain</x:t>
        </x:is>
      </x:c>
      <x:c r="U90" s="15" t="inlineStr">
        <x:is>
          <x:t xml:space="preserve"/>
        </x:is>
      </x:c>
    </x:row>
    <x:row r="91" ht="30" customHeight="1">
      <x:c r="A91" s="15" t="inlineStr">
        <x:is>
          <x:t xml:space="preserve">m080</x:t>
        </x:is>
      </x:c>
      <x:c r="B91" s="15" t="inlineStr">
        <x:is>
          <x:t xml:space="preserve">source_edge</x:t>
        </x:is>
      </x:c>
      <x:c r="C91" s="15" t="inlineStr">
        <x:is>
          <x:t xml:space="preserve">st.p9.tranquil_eye_without_envy</x:t>
        </x:is>
      </x:c>
      <x:c r="D91" s="15" t="inlineStr">
        <x:is>
          <x:t xml:space="preserve">спокойное око без зависти</x:t>
        </x:is>
      </x:c>
      <x:c r="E91" s="15" t="inlineStr">
        <x:is>
          <x:t xml:space="preserve">state</x:t>
        </x:is>
      </x:c>
      <x:c r="F91" s="15" t="inlineStr">
        <x:is>
          <x:t xml:space="preserve">beholds</x:t>
        </x:is>
      </x:c>
      <x:c r="G91" s="15" t="inlineStr">
        <x:is>
          <x:t xml:space="preserve">созерцает</x:t>
        </x:is>
      </x:c>
      <x:c r="H91" s="15" t="inlineStr">
        <x:is>
          <x:t xml:space="preserve">n.all_too_great_happiness</x:t>
        </x:is>
      </x:c>
      <x:c r="I91" s="15" t="inlineStr">
        <x:is>
          <x:t xml:space="preserve">чрезмерно большое счастье</x:t>
        </x:is>
      </x:c>
      <x:c r="J91" s="15" t="inlineStr">
        <x:is>
          <x:t xml:space="preserve">quality</x:t>
        </x:is>
      </x:c>
      <x:c r="K91" s="15" t="inlineStr">
        <x:is>
          <x:t xml:space="preserve">source_linked</x:t>
        </x:is>
      </x:c>
      <x:c r="L91" s="15" t="inlineStr">
        <x:is>
          <x:t xml:space="preserve">1,1,1,9</x:t>
        </x:is>
      </x:c>
      <x:c r="M91" s="15" t="inlineStr">
        <x:is>
          <x:t xml:space="preserve"/>
        </x:is>
      </x:c>
      <x:c r="N91" s="15" t="n">
        <x:v>9</x:v>
      </x:c>
      <x:c r="O91" s="15" t="n">
        <x:v>9</x:v>
      </x:c>
      <x:c r="P91" s="15" t="inlineStr">
        <x:is>
          <x:t xml:space="preserve">[9]</x:t>
        </x:is>
      </x:c>
      <x:c r="Q91" s="15" t="inlineStr">
        <x:is>
          <x:t xml:space="preserve">|p9|</x:t>
        </x:is>
      </x:c>
      <x:c r="R91" s="15" t="inlineStr">
        <x:is>
          <x:t xml:space="preserve">seg.1.1.1.9</x:t>
        </x:is>
      </x:c>
      <x:c r="S91" s="15" t="inlineStr">
        <x:is>
          <x:t xml:space="preserve">de+ru+en</x:t>
        </x:is>
      </x:c>
      <x:c r="T91" s="15" t="inlineStr">
        <x:is>
          <x:t xml:space="preserve">local_chain</x:t>
        </x:is>
      </x:c>
      <x:c r="U91" s="15" t="inlineStr">
        <x:is>
          <x:t xml:space="preserve"/>
        </x:is>
      </x:c>
    </x:row>
    <x:row r="92" ht="30" customHeight="1">
      <x:c r="A92" s="15" t="inlineStr">
        <x:is>
          <x:t xml:space="preserve">m081</x:t>
        </x:is>
      </x:c>
      <x:c r="B92" s="15" t="inlineStr">
        <x:is>
          <x:t xml:space="preserve">source_edge</x:t>
        </x:is>
      </x:c>
      <x:c r="C92" s="15" t="inlineStr">
        <x:is>
          <x:t xml:space="preserve">st.p9.tranquil_eye_without_envy</x:t>
        </x:is>
      </x:c>
      <x:c r="D92" s="15" t="inlineStr">
        <x:is>
          <x:t xml:space="preserve">спокойное око без зависти</x:t>
        </x:is>
      </x:c>
      <x:c r="E92" s="15" t="inlineStr">
        <x:is>
          <x:t xml:space="preserve">state</x:t>
        </x:is>
      </x:c>
      <x:c r="F92" s="15" t="inlineStr">
        <x:is>
          <x:t xml:space="preserve">excludes</x:t>
        </x:is>
      </x:c>
      <x:c r="G92" s="15" t="inlineStr">
        <x:is>
          <x:t xml:space="preserve">исключает</x:t>
        </x:is>
      </x:c>
      <x:c r="H92" s="15" t="inlineStr">
        <x:is>
          <x:t xml:space="preserve">n.envy</x:t>
        </x:is>
      </x:c>
      <x:c r="I92" s="15" t="inlineStr">
        <x:is>
          <x:t xml:space="preserve">зависть</x:t>
        </x:is>
      </x:c>
      <x:c r="J92" s="15" t="inlineStr">
        <x:is>
          <x:t xml:space="preserve">negative-affect</x:t>
        </x:is>
      </x:c>
      <x:c r="K92" s="15" t="inlineStr">
        <x:is>
          <x:t xml:space="preserve">source_linked</x:t>
        </x:is>
      </x:c>
      <x:c r="L92" s="15" t="inlineStr">
        <x:is>
          <x:t xml:space="preserve">1,1,1,9</x:t>
        </x:is>
      </x:c>
      <x:c r="M92" s="15" t="inlineStr">
        <x:is>
          <x:t xml:space="preserve"/>
        </x:is>
      </x:c>
      <x:c r="N92" s="15" t="n">
        <x:v>9</x:v>
      </x:c>
      <x:c r="O92" s="15" t="n">
        <x:v>9</x:v>
      </x:c>
      <x:c r="P92" s="15" t="inlineStr">
        <x:is>
          <x:t xml:space="preserve">[9]</x:t>
        </x:is>
      </x:c>
      <x:c r="Q92" s="15" t="inlineStr">
        <x:is>
          <x:t xml:space="preserve">|p9|</x:t>
        </x:is>
      </x:c>
      <x:c r="R92" s="15" t="inlineStr">
        <x:is>
          <x:t xml:space="preserve">seg.1.1.1.9</x:t>
        </x:is>
      </x:c>
      <x:c r="S92" s="15" t="inlineStr">
        <x:is>
          <x:t xml:space="preserve">de+ru+en</x:t>
        </x:is>
      </x:c>
      <x:c r="T92" s="15" t="inlineStr">
        <x:is>
          <x:t xml:space="preserve">local_chain</x:t>
        </x:is>
      </x:c>
      <x:c r="U92" s="15" t="inlineStr">
        <x:is>
          <x:t xml:space="preserve"/>
        </x:is>
      </x:c>
    </x:row>
    <x:row r="93" ht="30" customHeight="1">
      <x:c r="A93" s="15" t="inlineStr">
        <x:is>
          <x:t xml:space="preserve">m082</x:t>
        </x:is>
      </x:c>
      <x:c r="B93" s="15" t="inlineStr">
        <x:is>
          <x:t xml:space="preserve">source_edge</x:t>
        </x:is>
      </x:c>
      <x:c r="C93" s="15" t="inlineStr">
        <x:is>
          <x:t xml:space="preserve">ev.p9.request_blessing_from_tranquil_eye</x:t>
        </x:is>
      </x:c>
      <x:c r="D93" s="15" t="inlineStr">
        <x:is>
          <x:t xml:space="preserve">просьба о благословении к спокойному оку</x:t>
        </x:is>
      </x:c>
      <x:c r="E93" s="15" t="inlineStr">
        <x:is>
          <x:t xml:space="preserve">event</x:t>
        </x:is>
      </x:c>
      <x:c r="F93" s="15" t="inlineStr">
        <x:is>
          <x:t xml:space="preserve">asks_for</x:t>
        </x:is>
      </x:c>
      <x:c r="G93" s="15" t="inlineStr">
        <x:is>
          <x:t xml:space="preserve">просит</x:t>
        </x:is>
      </x:c>
      <x:c r="H93" s="15" t="inlineStr">
        <x:is>
          <x:t xml:space="preserve">n.blessing</x:t>
        </x:is>
      </x:c>
      <x:c r="I93" s="15" t="inlineStr">
        <x:is>
          <x:t xml:space="preserve">благословение</x:t>
        </x:is>
      </x:c>
      <x:c r="J93" s="15" t="inlineStr">
        <x:is>
          <x:t xml:space="preserve">act</x:t>
        </x:is>
      </x:c>
      <x:c r="K93" s="15" t="inlineStr">
        <x:is>
          <x:t xml:space="preserve">source_linked</x:t>
        </x:is>
      </x:c>
      <x:c r="L93" s="15" t="inlineStr">
        <x:is>
          <x:t xml:space="preserve">1,1,1,9</x:t>
        </x:is>
      </x:c>
      <x:c r="M93" s="15" t="inlineStr">
        <x:is>
          <x:t xml:space="preserve"/>
        </x:is>
      </x:c>
      <x:c r="N93" s="15" t="n">
        <x:v>9</x:v>
      </x:c>
      <x:c r="O93" s="15" t="n">
        <x:v>9</x:v>
      </x:c>
      <x:c r="P93" s="15" t="inlineStr">
        <x:is>
          <x:t xml:space="preserve">[9]</x:t>
        </x:is>
      </x:c>
      <x:c r="Q93" s="15" t="inlineStr">
        <x:is>
          <x:t xml:space="preserve">|p9|</x:t>
        </x:is>
      </x:c>
      <x:c r="R93" s="15" t="inlineStr">
        <x:is>
          <x:t xml:space="preserve">seg.1.1.1.9</x:t>
        </x:is>
      </x:c>
      <x:c r="S93" s="15" t="inlineStr">
        <x:is>
          <x:t xml:space="preserve">de+ru+en</x:t>
        </x:is>
      </x:c>
      <x:c r="T93" s="15" t="inlineStr">
        <x:is>
          <x:t xml:space="preserve">local_chain</x:t>
        </x:is>
      </x:c>
      <x:c r="U93" s="15" t="inlineStr">
        <x:is>
          <x:t xml:space="preserve"/>
        </x:is>
      </x:c>
    </x:row>
    <x:row r="94" ht="30" customHeight="1">
      <x:c r="A94" s="16" t="inlineStr">
        <x:is>
          <x:t xml:space="preserve">m083</x:t>
        </x:is>
      </x:c>
      <x:c r="B94" s="16" t="inlineStr">
        <x:is>
          <x:t xml:space="preserve">bridge_edge</x:t>
        </x:is>
      </x:c>
      <x:c r="C94" s="16" t="inlineStr">
        <x:is>
          <x:t xml:space="preserve">ev.p9.request_blessing_from_tranquil_eye</x:t>
        </x:is>
      </x:c>
      <x:c r="D94" s="16" t="inlineStr">
        <x:is>
          <x:t xml:space="preserve">просьба о благословении к спокойному оку</x:t>
        </x:is>
      </x:c>
      <x:c r="E94" s="16" t="inlineStr">
        <x:is>
          <x:t xml:space="preserve">event</x:t>
        </x:is>
      </x:c>
      <x:c r="F94" s="16" t="inlineStr">
        <x:is>
          <x:t xml:space="preserve">prepares</x:t>
        </x:is>
      </x:c>
      <x:c r="G94" s="16" t="inlineStr">
        <x:is>
          <x:t xml:space="preserve">подготавливает</x:t>
        </x:is>
      </x:c>
      <x:c r="H94" s="16" t="inlineStr">
        <x:is>
          <x:t xml:space="preserve">ev.p10.request_blessing_of_cup</x:t>
        </x:is>
      </x:c>
      <x:c r="I94" s="16" t="inlineStr">
        <x:is>
          <x:t xml:space="preserve">просьба благословить чашу</x:t>
        </x:is>
      </x:c>
      <x:c r="J94" s="16" t="inlineStr">
        <x:is>
          <x:t xml:space="preserve">event</x:t>
        </x:is>
      </x:c>
      <x:c r="K94" s="16" t="inlineStr">
        <x:is>
          <x:t xml:space="preserve">source_linked</x:t>
        </x:is>
      </x:c>
      <x:c r="L94" s="16" t="inlineStr">
        <x:is>
          <x:t xml:space="preserve">1,1,1,9</x:t>
        </x:is>
      </x:c>
      <x:c r="M94" s="16" t="inlineStr">
        <x:is>
          <x:t xml:space="preserve">1,1,1,10</x:t>
        </x:is>
      </x:c>
      <x:c r="N94" s="16" t="n">
        <x:v>9</x:v>
      </x:c>
      <x:c r="O94" s="16" t="n">
        <x:v>10</x:v>
      </x:c>
      <x:c r="P94" s="16" t="inlineStr">
        <x:is>
          <x:t xml:space="preserve">[9]-[10]</x:t>
        </x:is>
      </x:c>
      <x:c r="Q94" s="16" t="inlineStr">
        <x:is>
          <x:t xml:space="preserve">|p9|p10|</x:t>
        </x:is>
      </x:c>
      <x:c r="R94" s="16" t="inlineStr">
        <x:is>
          <x:t xml:space="preserve">seg.1.1.1.9|seg.1.1.1.10</x:t>
        </x:is>
      </x:c>
      <x:c r="S94" s="16" t="inlineStr">
        <x:is>
          <x:t xml:space="preserve">de+ru+en</x:t>
        </x:is>
      </x:c>
      <x:c r="T94" s="16" t="inlineStr">
        <x:is>
          <x:t xml:space="preserve">reasoning_bridge</x:t>
        </x:is>
      </x:c>
      <x:c r="U94" s="16" t="inlineStr">
        <x:is>
          <x:t xml:space="preserve"/>
        </x:is>
      </x:c>
    </x:row>
    <x:row r="95" ht="30" customHeight="1">
      <x:c r="A95" s="15" t="inlineStr">
        <x:is>
          <x:t xml:space="preserve">m084</x:t>
        </x:is>
      </x:c>
      <x:c r="B95" s="15" t="inlineStr">
        <x:is>
          <x:t xml:space="preserve">source_edge</x:t>
        </x:is>
      </x:c>
      <x:c r="C95" s="15" t="inlineStr">
        <x:is>
          <x:t xml:space="preserve">n.zarathustra</x:t>
        </x:is>
      </x:c>
      <x:c r="D95" s="15" t="inlineStr">
        <x:is>
          <x:t xml:space="preserve">Заратустра</x:t>
        </x:is>
      </x:c>
      <x:c r="E95" s="15" t="inlineStr">
        <x:is>
          <x:t xml:space="preserve">persona</x:t>
        </x:is>
      </x:c>
      <x:c r="F95" s="15" t="inlineStr">
        <x:is>
          <x:t xml:space="preserve">performs</x:t>
        </x:is>
      </x:c>
      <x:c r="G95" s="15" t="inlineStr">
        <x:is>
          <x:t xml:space="preserve">совершает</x:t>
        </x:is>
      </x:c>
      <x:c r="H95" s="15" t="inlineStr">
        <x:is>
          <x:t xml:space="preserve">ev.p10.request_blessing_of_cup</x:t>
        </x:is>
      </x:c>
      <x:c r="I95" s="15" t="inlineStr">
        <x:is>
          <x:t xml:space="preserve">просьба благословить чашу</x:t>
        </x:is>
      </x:c>
      <x:c r="J95" s="15" t="inlineStr">
        <x:is>
          <x:t xml:space="preserve">event</x:t>
        </x:is>
      </x:c>
      <x:c r="K95" s="15" t="inlineStr">
        <x:is>
          <x:t xml:space="preserve">source_linked</x:t>
        </x:is>
      </x:c>
      <x:c r="L95" s="15" t="inlineStr">
        <x:is>
          <x:t xml:space="preserve">1,1,1,10</x:t>
        </x:is>
      </x:c>
      <x:c r="M95" s="15" t="inlineStr">
        <x:is>
          <x:t xml:space="preserve"/>
        </x:is>
      </x:c>
      <x:c r="N95" s="15" t="n">
        <x:v>10</x:v>
      </x:c>
      <x:c r="O95" s="15" t="n">
        <x:v>10</x:v>
      </x:c>
      <x:c r="P95" s="15" t="inlineStr">
        <x:is>
          <x:t xml:space="preserve">[10]</x:t>
        </x:is>
      </x:c>
      <x:c r="Q95" s="15" t="inlineStr">
        <x:is>
          <x:t xml:space="preserve">|p10|</x:t>
        </x:is>
      </x:c>
      <x:c r="R95" s="15" t="inlineStr">
        <x:is>
          <x:t xml:space="preserve">seg.1.1.1.10</x:t>
        </x:is>
      </x:c>
      <x:c r="S95" s="15" t="inlineStr">
        <x:is>
          <x:t xml:space="preserve">de+ru+en</x:t>
        </x:is>
      </x:c>
      <x:c r="T95" s="15" t="inlineStr">
        <x:is>
          <x:t xml:space="preserve">local_chain</x:t>
        </x:is>
      </x:c>
      <x:c r="U95" s="15" t="inlineStr">
        <x:is>
          <x:t xml:space="preserve"/>
        </x:is>
      </x:c>
    </x:row>
    <x:row r="96" ht="30" customHeight="1">
      <x:c r="A96" s="15" t="inlineStr">
        <x:is>
          <x:t xml:space="preserve">m085</x:t>
        </x:is>
      </x:c>
      <x:c r="B96" s="15" t="inlineStr">
        <x:is>
          <x:t xml:space="preserve">source_edge</x:t>
        </x:is>
      </x:c>
      <x:c r="C96" s="15" t="inlineStr">
        <x:is>
          <x:t xml:space="preserve">ev.p10.request_blessing_of_cup</x:t>
        </x:is>
      </x:c>
      <x:c r="D96" s="15" t="inlineStr">
        <x:is>
          <x:t xml:space="preserve">просьба благословить чашу</x:t>
        </x:is>
      </x:c>
      <x:c r="E96" s="15" t="inlineStr">
        <x:is>
          <x:t xml:space="preserve">event</x:t>
        </x:is>
      </x:c>
      <x:c r="F96" s="15" t="inlineStr">
        <x:is>
          <x:t xml:space="preserve">addresses</x:t>
        </x:is>
      </x:c>
      <x:c r="G96" s="15" t="inlineStr">
        <x:is>
          <x:t xml:space="preserve">обращается к</x:t>
        </x:is>
      </x:c>
      <x:c r="H96" s="15" t="inlineStr">
        <x:is>
          <x:t xml:space="preserve">n.tranquil_eye</x:t>
        </x:is>
      </x:c>
      <x:c r="I96" s="15" t="inlineStr">
        <x:is>
          <x:t xml:space="preserve">спокойное око</x:t>
        </x:is>
      </x:c>
      <x:c r="J96" s="15" t="inlineStr">
        <x:is>
          <x:t xml:space="preserve">solar-aspect</x:t>
        </x:is>
      </x:c>
      <x:c r="K96" s="15" t="inlineStr">
        <x:is>
          <x:t xml:space="preserve">source_linked</x:t>
        </x:is>
      </x:c>
      <x:c r="L96" s="15" t="inlineStr">
        <x:is>
          <x:t xml:space="preserve">1,1,1,10</x:t>
        </x:is>
      </x:c>
      <x:c r="M96" s="15" t="inlineStr">
        <x:is>
          <x:t xml:space="preserve"/>
        </x:is>
      </x:c>
      <x:c r="N96" s="15" t="n">
        <x:v>10</x:v>
      </x:c>
      <x:c r="O96" s="15" t="n">
        <x:v>10</x:v>
      </x:c>
      <x:c r="P96" s="15" t="inlineStr">
        <x:is>
          <x:t xml:space="preserve">[10]</x:t>
        </x:is>
      </x:c>
      <x:c r="Q96" s="15" t="inlineStr">
        <x:is>
          <x:t xml:space="preserve">|p10|</x:t>
        </x:is>
      </x:c>
      <x:c r="R96" s="15" t="inlineStr">
        <x:is>
          <x:t xml:space="preserve">seg.1.1.1.10</x:t>
        </x:is>
      </x:c>
      <x:c r="S96" s="15" t="inlineStr">
        <x:is>
          <x:t xml:space="preserve">de+ru+en</x:t>
        </x:is>
      </x:c>
      <x:c r="T96" s="15" t="inlineStr">
        <x:is>
          <x:t xml:space="preserve">local_chain</x:t>
        </x:is>
      </x:c>
      <x:c r="U96" s="15" t="inlineStr">
        <x:is>
          <x:t xml:space="preserve"/>
        </x:is>
      </x:c>
    </x:row>
    <x:row r="97" ht="30" customHeight="1">
      <x:c r="A97" s="15" t="inlineStr">
        <x:is>
          <x:t xml:space="preserve">m086</x:t>
        </x:is>
      </x:c>
      <x:c r="B97" s="15" t="inlineStr">
        <x:is>
          <x:t xml:space="preserve">source_edge</x:t>
        </x:is>
      </x:c>
      <x:c r="C97" s="15" t="inlineStr">
        <x:is>
          <x:t xml:space="preserve">ev.p10.request_blessing_of_cup</x:t>
        </x:is>
      </x:c>
      <x:c r="D97" s="15" t="inlineStr">
        <x:is>
          <x:t xml:space="preserve">просьба благословить чашу</x:t>
        </x:is>
      </x:c>
      <x:c r="E97" s="15" t="inlineStr">
        <x:is>
          <x:t xml:space="preserve">event</x:t>
        </x:is>
      </x:c>
      <x:c r="F97" s="15" t="inlineStr">
        <x:is>
          <x:t xml:space="preserve">targets</x:t>
        </x:is>
      </x:c>
      <x:c r="G97" s="15" t="inlineStr">
        <x:is>
          <x:t xml:space="preserve">направлено к</x:t>
        </x:is>
      </x:c>
      <x:c r="H97" s="15" t="inlineStr">
        <x:is>
          <x:t xml:space="preserve">n.cup</x:t>
        </x:is>
      </x:c>
      <x:c r="I97" s="15" t="inlineStr">
        <x:is>
          <x:t xml:space="preserve">чаша</x:t>
        </x:is>
      </x:c>
      <x:c r="J97" s="15" t="inlineStr">
        <x:is>
          <x:t xml:space="preserve">vessel-symbol</x:t>
        </x:is>
      </x:c>
      <x:c r="K97" s="15" t="inlineStr">
        <x:is>
          <x:t xml:space="preserve">source_linked</x:t>
        </x:is>
      </x:c>
      <x:c r="L97" s="15" t="inlineStr">
        <x:is>
          <x:t xml:space="preserve">1,1,1,10</x:t>
        </x:is>
      </x:c>
      <x:c r="M97" s="15" t="inlineStr">
        <x:is>
          <x:t xml:space="preserve"/>
        </x:is>
      </x:c>
      <x:c r="N97" s="15" t="n">
        <x:v>10</x:v>
      </x:c>
      <x:c r="O97" s="15" t="n">
        <x:v>10</x:v>
      </x:c>
      <x:c r="P97" s="15" t="inlineStr">
        <x:is>
          <x:t xml:space="preserve">[10]</x:t>
        </x:is>
      </x:c>
      <x:c r="Q97" s="15" t="inlineStr">
        <x:is>
          <x:t xml:space="preserve">|p10|</x:t>
        </x:is>
      </x:c>
      <x:c r="R97" s="15" t="inlineStr">
        <x:is>
          <x:t xml:space="preserve">seg.1.1.1.10</x:t>
        </x:is>
      </x:c>
      <x:c r="S97" s="15" t="inlineStr">
        <x:is>
          <x:t xml:space="preserve">de+ru+en</x:t>
        </x:is>
      </x:c>
      <x:c r="T97" s="15" t="inlineStr">
        <x:is>
          <x:t xml:space="preserve">local_chain</x:t>
        </x:is>
      </x:c>
      <x:c r="U97" s="15" t="inlineStr">
        <x:is>
          <x:t xml:space="preserve"/>
        </x:is>
      </x:c>
    </x:row>
    <x:row r="98" ht="30" customHeight="1">
      <x:c r="A98" s="15" t="inlineStr">
        <x:is>
          <x:t xml:space="preserve">m087</x:t>
        </x:is>
      </x:c>
      <x:c r="B98" s="15" t="inlineStr">
        <x:is>
          <x:t xml:space="preserve">source_edge</x:t>
        </x:is>
      </x:c>
      <x:c r="C98" s="15" t="inlineStr">
        <x:is>
          <x:t xml:space="preserve">n.cup</x:t>
        </x:is>
      </x:c>
      <x:c r="D98" s="15" t="inlineStr">
        <x:is>
          <x:t xml:space="preserve">чаша</x:t>
        </x:is>
      </x:c>
      <x:c r="E98" s="15" t="inlineStr">
        <x:is>
          <x:t xml:space="preserve">vessel-symbol</x:t>
        </x:is>
      </x:c>
      <x:c r="F98" s="15" t="inlineStr">
        <x:is>
          <x:t xml:space="preserve">participates_in</x:t>
        </x:is>
      </x:c>
      <x:c r="G98" s="15" t="inlineStr">
        <x:is>
          <x:t xml:space="preserve">участвует в</x:t>
        </x:is>
      </x:c>
      <x:c r="H98" s="15" t="inlineStr">
        <x:is>
          <x:t xml:space="preserve">st.p10.cup_wants_to_overflow</x:t>
        </x:is>
      </x:c>
      <x:c r="I98" s="15" t="inlineStr">
        <x:is>
          <x:t xml:space="preserve">чаша хочет перелиться</x:t>
        </x:is>
      </x:c>
      <x:c r="J98" s="15" t="inlineStr">
        <x:is>
          <x:t xml:space="preserve">state</x:t>
        </x:is>
      </x:c>
      <x:c r="K98" s="15" t="inlineStr">
        <x:is>
          <x:t xml:space="preserve">source_linked</x:t>
        </x:is>
      </x:c>
      <x:c r="L98" s="15" t="inlineStr">
        <x:is>
          <x:t xml:space="preserve">1,1,1,10</x:t>
        </x:is>
      </x:c>
      <x:c r="M98" s="15" t="inlineStr">
        <x:is>
          <x:t xml:space="preserve"/>
        </x:is>
      </x:c>
      <x:c r="N98" s="15" t="n">
        <x:v>10</x:v>
      </x:c>
      <x:c r="O98" s="15" t="n">
        <x:v>10</x:v>
      </x:c>
      <x:c r="P98" s="15" t="inlineStr">
        <x:is>
          <x:t xml:space="preserve">[10]</x:t>
        </x:is>
      </x:c>
      <x:c r="Q98" s="15" t="inlineStr">
        <x:is>
          <x:t xml:space="preserve">|p10|</x:t>
        </x:is>
      </x:c>
      <x:c r="R98" s="15" t="inlineStr">
        <x:is>
          <x:t xml:space="preserve">seg.1.1.1.10</x:t>
        </x:is>
      </x:c>
      <x:c r="S98" s="15" t="inlineStr">
        <x:is>
          <x:t xml:space="preserve">de+ru+en</x:t>
        </x:is>
      </x:c>
      <x:c r="T98" s="15" t="inlineStr">
        <x:is>
          <x:t xml:space="preserve">local_chain</x:t>
        </x:is>
      </x:c>
      <x:c r="U98" s="15" t="inlineStr">
        <x:is>
          <x:t xml:space="preserve"/>
        </x:is>
      </x:c>
    </x:row>
    <x:row r="99" ht="30" customHeight="1">
      <x:c r="A99" s="15" t="inlineStr">
        <x:is>
          <x:t xml:space="preserve">m088</x:t>
        </x:is>
      </x:c>
      <x:c r="B99" s="15" t="inlineStr">
        <x:is>
          <x:t xml:space="preserve">source_edge</x:t>
        </x:is>
      </x:c>
      <x:c r="C99" s="15" t="inlineStr">
        <x:is>
          <x:t xml:space="preserve">st.p10.cup_wants_to_overflow</x:t>
        </x:is>
      </x:c>
      <x:c r="D99" s="15" t="inlineStr">
        <x:is>
          <x:t xml:space="preserve">чаша хочет перелиться</x:t>
        </x:is>
      </x:c>
      <x:c r="E99" s="15" t="inlineStr">
        <x:is>
          <x:t xml:space="preserve">state</x:t>
        </x:is>
      </x:c>
      <x:c r="F99" s="15" t="inlineStr">
        <x:is>
          <x:t xml:space="preserve">aims_at</x:t>
        </x:is>
      </x:c>
      <x:c r="G99" s="15" t="inlineStr">
        <x:is>
          <x:t xml:space="preserve">устремлено к</x:t>
        </x:is>
      </x:c>
      <x:c r="H99" s="15" t="inlineStr">
        <x:is>
          <x:t xml:space="preserve">n.overflow</x:t>
        </x:is>
      </x:c>
      <x:c r="I99" s="15" t="inlineStr">
        <x:is>
          <x:t xml:space="preserve">избыток / overflow</x:t>
        </x:is>
      </x:c>
      <x:c r="J99" s="15" t="inlineStr">
        <x:is>
          <x:t xml:space="preserve">abundance</x:t>
        </x:is>
      </x:c>
      <x:c r="K99" s="15" t="inlineStr">
        <x:is>
          <x:t xml:space="preserve">source_linked</x:t>
        </x:is>
      </x:c>
      <x:c r="L99" s="15" t="inlineStr">
        <x:is>
          <x:t xml:space="preserve">1,1,1,10</x:t>
        </x:is>
      </x:c>
      <x:c r="M99" s="15" t="inlineStr">
        <x:is>
          <x:t xml:space="preserve"/>
        </x:is>
      </x:c>
      <x:c r="N99" s="15" t="n">
        <x:v>10</x:v>
      </x:c>
      <x:c r="O99" s="15" t="n">
        <x:v>10</x:v>
      </x:c>
      <x:c r="P99" s="15" t="inlineStr">
        <x:is>
          <x:t xml:space="preserve">[10]</x:t>
        </x:is>
      </x:c>
      <x:c r="Q99" s="15" t="inlineStr">
        <x:is>
          <x:t xml:space="preserve">|p10|</x:t>
        </x:is>
      </x:c>
      <x:c r="R99" s="15" t="inlineStr">
        <x:is>
          <x:t xml:space="preserve">seg.1.1.1.10</x:t>
        </x:is>
      </x:c>
      <x:c r="S99" s="15" t="inlineStr">
        <x:is>
          <x:t xml:space="preserve">de+ru+en</x:t>
        </x:is>
      </x:c>
      <x:c r="T99" s="15" t="inlineStr">
        <x:is>
          <x:t xml:space="preserve">local_chain</x:t>
        </x:is>
      </x:c>
      <x:c r="U99" s="15" t="inlineStr">
        <x:is>
          <x:t xml:space="preserve"/>
        </x:is>
      </x:c>
    </x:row>
    <x:row r="100" ht="30" customHeight="1">
      <x:c r="A100" s="15" t="inlineStr">
        <x:is>
          <x:t xml:space="preserve">m089</x:t>
        </x:is>
      </x:c>
      <x:c r="B100" s="15" t="inlineStr">
        <x:is>
          <x:t xml:space="preserve">source_edge</x:t>
        </x:is>
      </x:c>
      <x:c r="C100" s="15" t="inlineStr">
        <x:is>
          <x:t xml:space="preserve">n.cup</x:t>
        </x:is>
      </x:c>
      <x:c r="D100" s="15" t="inlineStr">
        <x:is>
          <x:t xml:space="preserve">чаша</x:t>
        </x:is>
      </x:c>
      <x:c r="E100" s="15" t="inlineStr">
        <x:is>
          <x:t xml:space="preserve">vessel-symbol</x:t>
        </x:is>
      </x:c>
      <x:c r="F100" s="15" t="inlineStr">
        <x:is>
          <x:t xml:space="preserve">participates_in</x:t>
        </x:is>
      </x:c>
      <x:c r="G100" s="15" t="inlineStr">
        <x:is>
          <x:t xml:space="preserve">участвует в</x:t>
        </x:is>
      </x:c>
      <x:c r="H100" s="15" t="inlineStr">
        <x:is>
          <x:t xml:space="preserve">ev.p10.golden_water_flows</x:t>
        </x:is>
      </x:c>
      <x:c r="I100" s="15" t="inlineStr">
        <x:is>
          <x:t xml:space="preserve">золотистая влага течёт из чаши</x:t>
        </x:is>
      </x:c>
      <x:c r="J100" s="15" t="inlineStr">
        <x:is>
          <x:t xml:space="preserve">event</x:t>
        </x:is>
      </x:c>
      <x:c r="K100" s="15" t="inlineStr">
        <x:is>
          <x:t xml:space="preserve">source_linked</x:t>
        </x:is>
      </x:c>
      <x:c r="L100" s="15" t="inlineStr">
        <x:is>
          <x:t xml:space="preserve">1,1,1,10</x:t>
        </x:is>
      </x:c>
      <x:c r="M100" s="15" t="inlineStr">
        <x:is>
          <x:t xml:space="preserve"/>
        </x:is>
      </x:c>
      <x:c r="N100" s="15" t="n">
        <x:v>10</x:v>
      </x:c>
      <x:c r="O100" s="15" t="n">
        <x:v>10</x:v>
      </x:c>
      <x:c r="P100" s="15" t="inlineStr">
        <x:is>
          <x:t xml:space="preserve">[10]</x:t>
        </x:is>
      </x:c>
      <x:c r="Q100" s="15" t="inlineStr">
        <x:is>
          <x:t xml:space="preserve">|p10|</x:t>
        </x:is>
      </x:c>
      <x:c r="R100" s="15" t="inlineStr">
        <x:is>
          <x:t xml:space="preserve">seg.1.1.1.10</x:t>
        </x:is>
      </x:c>
      <x:c r="S100" s="15" t="inlineStr">
        <x:is>
          <x:t xml:space="preserve">de+ru+en</x:t>
        </x:is>
      </x:c>
      <x:c r="T100" s="15" t="inlineStr">
        <x:is>
          <x:t xml:space="preserve">local_chain</x:t>
        </x:is>
      </x:c>
      <x:c r="U100" s="15" t="inlineStr">
        <x:is>
          <x:t xml:space="preserve"/>
        </x:is>
      </x:c>
    </x:row>
    <x:row r="101" ht="30" customHeight="1">
      <x:c r="A101" s="15" t="inlineStr">
        <x:is>
          <x:t xml:space="preserve">m090</x:t>
        </x:is>
      </x:c>
      <x:c r="B101" s="15" t="inlineStr">
        <x:is>
          <x:t xml:space="preserve">source_edge</x:t>
        </x:is>
      </x:c>
      <x:c r="C101" s="15" t="inlineStr">
        <x:is>
          <x:t xml:space="preserve">ev.p10.golden_water_flows</x:t>
        </x:is>
      </x:c>
      <x:c r="D101" s="15" t="inlineStr">
        <x:is>
          <x:t xml:space="preserve">золотистая влага течёт из чаши</x:t>
        </x:is>
      </x:c>
      <x:c r="E101" s="15" t="inlineStr">
        <x:is>
          <x:t xml:space="preserve">event</x:t>
        </x:is>
      </x:c>
      <x:c r="F101" s="15" t="inlineStr">
        <x:is>
          <x:t xml:space="preserve">carries</x:t>
        </x:is>
      </x:c>
      <x:c r="G101" s="15" t="inlineStr">
        <x:is>
          <x:t xml:space="preserve">несёт</x:t>
        </x:is>
      </x:c>
      <x:c r="H101" s="15" t="inlineStr">
        <x:is>
          <x:t xml:space="preserve">n.water</x:t>
        </x:is>
      </x:c>
      <x:c r="I101" s="15" t="inlineStr">
        <x:is>
          <x:t xml:space="preserve">влага / вода</x:t>
        </x:is>
      </x:c>
      <x:c r="J101" s="15" t="inlineStr">
        <x:is>
          <x:t xml:space="preserve">substance</x:t>
        </x:is>
      </x:c>
      <x:c r="K101" s="15" t="inlineStr">
        <x:is>
          <x:t xml:space="preserve">source_linked</x:t>
        </x:is>
      </x:c>
      <x:c r="L101" s="15" t="inlineStr">
        <x:is>
          <x:t xml:space="preserve">1,1,1,10</x:t>
        </x:is>
      </x:c>
      <x:c r="M101" s="15" t="inlineStr">
        <x:is>
          <x:t xml:space="preserve"/>
        </x:is>
      </x:c>
      <x:c r="N101" s="15" t="n">
        <x:v>10</x:v>
      </x:c>
      <x:c r="O101" s="15" t="n">
        <x:v>10</x:v>
      </x:c>
      <x:c r="P101" s="15" t="inlineStr">
        <x:is>
          <x:t xml:space="preserve">[10]</x:t>
        </x:is>
      </x:c>
      <x:c r="Q101" s="15" t="inlineStr">
        <x:is>
          <x:t xml:space="preserve">|p10|</x:t>
        </x:is>
      </x:c>
      <x:c r="R101" s="15" t="inlineStr">
        <x:is>
          <x:t xml:space="preserve">seg.1.1.1.10</x:t>
        </x:is>
      </x:c>
      <x:c r="S101" s="15" t="inlineStr">
        <x:is>
          <x:t xml:space="preserve">de+ru+en</x:t>
        </x:is>
      </x:c>
      <x:c r="T101" s="15" t="inlineStr">
        <x:is>
          <x:t xml:space="preserve">local_chain</x:t>
        </x:is>
      </x:c>
      <x:c r="U101" s="15" t="inlineStr">
        <x:is>
          <x:t xml:space="preserve"/>
        </x:is>
      </x:c>
    </x:row>
    <x:row r="102" ht="30" customHeight="1">
      <x:c r="A102" s="15" t="inlineStr">
        <x:is>
          <x:t xml:space="preserve">m091</x:t>
        </x:is>
      </x:c>
      <x:c r="B102" s="15" t="inlineStr">
        <x:is>
          <x:t xml:space="preserve">source_edge</x:t>
        </x:is>
      </x:c>
      <x:c r="C102" s="15" t="inlineStr">
        <x:is>
          <x:t xml:space="preserve">ev.p10.golden_water_flows</x:t>
        </x:is>
      </x:c>
      <x:c r="D102" s="15" t="inlineStr">
        <x:is>
          <x:t xml:space="preserve">золотистая влага течёт из чаши</x:t>
        </x:is>
      </x:c>
      <x:c r="E102" s="15" t="inlineStr">
        <x:is>
          <x:t xml:space="preserve">event</x:t>
        </x:is>
      </x:c>
      <x:c r="F102" s="15" t="inlineStr">
        <x:is>
          <x:t xml:space="preserve">has_quality</x:t>
        </x:is>
      </x:c>
      <x:c r="G102" s="15" t="inlineStr">
        <x:is>
          <x:t xml:space="preserve">имеет качество</x:t>
        </x:is>
      </x:c>
      <x:c r="H102" s="15" t="inlineStr">
        <x:is>
          <x:t xml:space="preserve">n.gold</x:t>
        </x:is>
      </x:c>
      <x:c r="I102" s="15" t="inlineStr">
        <x:is>
          <x:t xml:space="preserve">золото / золотистость</x:t>
        </x:is>
      </x:c>
      <x:c r="J102" s="15" t="inlineStr">
        <x:is>
          <x:t xml:space="preserve">quality</x:t>
        </x:is>
      </x:c>
      <x:c r="K102" s="15" t="inlineStr">
        <x:is>
          <x:t xml:space="preserve">source_linked</x:t>
        </x:is>
      </x:c>
      <x:c r="L102" s="15" t="inlineStr">
        <x:is>
          <x:t xml:space="preserve">1,1,1,10</x:t>
        </x:is>
      </x:c>
      <x:c r="M102" s="15" t="inlineStr">
        <x:is>
          <x:t xml:space="preserve"/>
        </x:is>
      </x:c>
      <x:c r="N102" s="15" t="n">
        <x:v>10</x:v>
      </x:c>
      <x:c r="O102" s="15" t="n">
        <x:v>10</x:v>
      </x:c>
      <x:c r="P102" s="15" t="inlineStr">
        <x:is>
          <x:t xml:space="preserve">[10]</x:t>
        </x:is>
      </x:c>
      <x:c r="Q102" s="15" t="inlineStr">
        <x:is>
          <x:t xml:space="preserve">|p10|</x:t>
        </x:is>
      </x:c>
      <x:c r="R102" s="15" t="inlineStr">
        <x:is>
          <x:t xml:space="preserve">seg.1.1.1.10</x:t>
        </x:is>
      </x:c>
      <x:c r="S102" s="15" t="inlineStr">
        <x:is>
          <x:t xml:space="preserve">de+ru+en</x:t>
        </x:is>
      </x:c>
      <x:c r="T102" s="15" t="inlineStr">
        <x:is>
          <x:t xml:space="preserve">local_chain</x:t>
        </x:is>
      </x:c>
      <x:c r="U102" s="15" t="inlineStr">
        <x:is>
          <x:t xml:space="preserve"/>
        </x:is>
      </x:c>
    </x:row>
    <x:row r="103" ht="30" customHeight="1">
      <x:c r="A103" s="15" t="inlineStr">
        <x:is>
          <x:t xml:space="preserve">m092</x:t>
        </x:is>
      </x:c>
      <x:c r="B103" s="15" t="inlineStr">
        <x:is>
          <x:t xml:space="preserve">source_edge</x:t>
        </x:is>
      </x:c>
      <x:c r="C103" s="15" t="inlineStr">
        <x:is>
          <x:t xml:space="preserve">ev.p10.golden_water_flows</x:t>
        </x:is>
      </x:c>
      <x:c r="D103" s="15" t="inlineStr">
        <x:is>
          <x:t xml:space="preserve">золотистая влага течёт из чаши</x:t>
        </x:is>
      </x:c>
      <x:c r="E103" s="15" t="inlineStr">
        <x:is>
          <x:t xml:space="preserve">event</x:t>
        </x:is>
      </x:c>
      <x:c r="F103" s="15" t="inlineStr">
        <x:is>
          <x:t xml:space="preserve">originates_from</x:t>
        </x:is>
      </x:c>
      <x:c r="G103" s="15" t="inlineStr">
        <x:is>
          <x:t xml:space="preserve">истекает из</x:t>
        </x:is>
      </x:c>
      <x:c r="H103" s="15" t="inlineStr">
        <x:is>
          <x:t xml:space="preserve">n.cup</x:t>
        </x:is>
      </x:c>
      <x:c r="I103" s="15" t="inlineStr">
        <x:is>
          <x:t xml:space="preserve">чаша</x:t>
        </x:is>
      </x:c>
      <x:c r="J103" s="15" t="inlineStr">
        <x:is>
          <x:t xml:space="preserve">vessel-symbol</x:t>
        </x:is>
      </x:c>
      <x:c r="K103" s="15" t="inlineStr">
        <x:is>
          <x:t xml:space="preserve">source_linked</x:t>
        </x:is>
      </x:c>
      <x:c r="L103" s="15" t="inlineStr">
        <x:is>
          <x:t xml:space="preserve">1,1,1,10</x:t>
        </x:is>
      </x:c>
      <x:c r="M103" s="15" t="inlineStr">
        <x:is>
          <x:t xml:space="preserve"/>
        </x:is>
      </x:c>
      <x:c r="N103" s="15" t="n">
        <x:v>10</x:v>
      </x:c>
      <x:c r="O103" s="15" t="n">
        <x:v>10</x:v>
      </x:c>
      <x:c r="P103" s="15" t="inlineStr">
        <x:is>
          <x:t xml:space="preserve">[10]</x:t>
        </x:is>
      </x:c>
      <x:c r="Q103" s="15" t="inlineStr">
        <x:is>
          <x:t xml:space="preserve">|p10|</x:t>
        </x:is>
      </x:c>
      <x:c r="R103" s="15" t="inlineStr">
        <x:is>
          <x:t xml:space="preserve">seg.1.1.1.10</x:t>
        </x:is>
      </x:c>
      <x:c r="S103" s="15" t="inlineStr">
        <x:is>
          <x:t xml:space="preserve">de+ru+en</x:t>
        </x:is>
      </x:c>
      <x:c r="T103" s="15" t="inlineStr">
        <x:is>
          <x:t xml:space="preserve">local_chain</x:t>
        </x:is>
      </x:c>
      <x:c r="U103" s="15" t="inlineStr">
        <x:is>
          <x:t xml:space="preserve"/>
        </x:is>
      </x:c>
    </x:row>
    <x:row r="104" ht="30" customHeight="1">
      <x:c r="A104" s="16" t="inlineStr">
        <x:is>
          <x:t xml:space="preserve">m093</x:t>
        </x:is>
      </x:c>
      <x:c r="B104" s="16" t="inlineStr">
        <x:is>
          <x:t xml:space="preserve">bridge_edge</x:t>
        </x:is>
      </x:c>
      <x:c r="C104" s="16" t="inlineStr">
        <x:is>
          <x:t xml:space="preserve">ev.p10.golden_water_flows</x:t>
        </x:is>
      </x:c>
      <x:c r="D104" s="16" t="inlineStr">
        <x:is>
          <x:t xml:space="preserve">золотистая влага течёт из чаши</x:t>
        </x:is>
      </x:c>
      <x:c r="E104" s="16" t="inlineStr">
        <x:is>
          <x:t xml:space="preserve">event</x:t>
        </x:is>
      </x:c>
      <x:c r="F104" s="16" t="inlineStr">
        <x:is>
          <x:t xml:space="preserve">leads_to</x:t>
        </x:is>
      </x:c>
      <x:c r="G104" s="16" t="inlineStr">
        <x:is>
          <x:t xml:space="preserve">ведёт к</x:t>
        </x:is>
      </x:c>
      <x:c r="H104" s="16" t="inlineStr">
        <x:is>
          <x:t xml:space="preserve">ev.p10.reflection_of_bliss_is_carried</x:t>
        </x:is>
      </x:c>
      <x:c r="I104" s="16" t="inlineStr">
        <x:is>
          <x:t xml:space="preserve">отблеск отрады несётся повсюду</x:t>
        </x:is>
      </x:c>
      <x:c r="J104" s="16" t="inlineStr">
        <x:is>
          <x:t xml:space="preserve">event</x:t>
        </x:is>
      </x:c>
      <x:c r="K104" s="16" t="inlineStr">
        <x:is>
          <x:t xml:space="preserve">source_linked</x:t>
        </x:is>
      </x:c>
      <x:c r="L104" s="16" t="inlineStr">
        <x:is>
          <x:t xml:space="preserve">1,1,1,10</x:t>
        </x:is>
      </x:c>
      <x:c r="M104" s="16" t="inlineStr">
        <x:is>
          <x:t xml:space="preserve"/>
        </x:is>
      </x:c>
      <x:c r="N104" s="16" t="n">
        <x:v>10</x:v>
      </x:c>
      <x:c r="O104" s="16" t="n">
        <x:v>10</x:v>
      </x:c>
      <x:c r="P104" s="16" t="inlineStr">
        <x:is>
          <x:t xml:space="preserve">[10]</x:t>
        </x:is>
      </x:c>
      <x:c r="Q104" s="16" t="inlineStr">
        <x:is>
          <x:t xml:space="preserve">|p10|</x:t>
        </x:is>
      </x:c>
      <x:c r="R104" s="16" t="inlineStr">
        <x:is>
          <x:t xml:space="preserve">seg.1.1.1.10</x:t>
        </x:is>
      </x:c>
      <x:c r="S104" s="16" t="inlineStr">
        <x:is>
          <x:t xml:space="preserve">de+ru+en</x:t>
        </x:is>
      </x:c>
      <x:c r="T104" s="16" t="inlineStr">
        <x:is>
          <x:t xml:space="preserve">reasoning_bridge</x:t>
        </x:is>
      </x:c>
      <x:c r="U104" s="16" t="inlineStr">
        <x:is>
          <x:t xml:space="preserve"/>
        </x:is>
      </x:c>
    </x:row>
    <x:row r="105" ht="30" customHeight="1">
      <x:c r="A105" s="15" t="inlineStr">
        <x:is>
          <x:t xml:space="preserve">m094</x:t>
        </x:is>
      </x:c>
      <x:c r="B105" s="15" t="inlineStr">
        <x:is>
          <x:t xml:space="preserve">source_edge</x:t>
        </x:is>
      </x:c>
      <x:c r="C105" s="15" t="inlineStr">
        <x:is>
          <x:t xml:space="preserve">ev.p10.reflection_of_bliss_is_carried</x:t>
        </x:is>
      </x:c>
      <x:c r="D105" s="15" t="inlineStr">
        <x:is>
          <x:t xml:space="preserve">отблеск отрады несётся повсюду</x:t>
        </x:is>
      </x:c>
      <x:c r="E105" s="15" t="inlineStr">
        <x:is>
          <x:t xml:space="preserve">event</x:t>
        </x:is>
      </x:c>
      <x:c r="F105" s="15" t="inlineStr">
        <x:is>
          <x:t xml:space="preserve">carries</x:t>
        </x:is>
      </x:c>
      <x:c r="G105" s="15" t="inlineStr">
        <x:is>
          <x:t xml:space="preserve">несёт</x:t>
        </x:is>
      </x:c>
      <x:c r="H105" s="15" t="inlineStr">
        <x:is>
          <x:t xml:space="preserve">n.reflection</x:t>
        </x:is>
      </x:c>
      <x:c r="I105" s="15" t="inlineStr">
        <x:is>
          <x:t xml:space="preserve">отблеск / отражение</x:t>
        </x:is>
      </x:c>
      <x:c r="J105" s="15" t="inlineStr">
        <x:is>
          <x:t xml:space="preserve">reflective_quality</x:t>
        </x:is>
      </x:c>
      <x:c r="K105" s="15" t="inlineStr">
        <x:is>
          <x:t xml:space="preserve">source_linked</x:t>
        </x:is>
      </x:c>
      <x:c r="L105" s="15" t="inlineStr">
        <x:is>
          <x:t xml:space="preserve">1,1,1,10</x:t>
        </x:is>
      </x:c>
      <x:c r="M105" s="15" t="inlineStr">
        <x:is>
          <x:t xml:space="preserve"/>
        </x:is>
      </x:c>
      <x:c r="N105" s="15" t="n">
        <x:v>10</x:v>
      </x:c>
      <x:c r="O105" s="15" t="n">
        <x:v>10</x:v>
      </x:c>
      <x:c r="P105" s="15" t="inlineStr">
        <x:is>
          <x:t xml:space="preserve">[10]</x:t>
        </x:is>
      </x:c>
      <x:c r="Q105" s="15" t="inlineStr">
        <x:is>
          <x:t xml:space="preserve">|p10|</x:t>
        </x:is>
      </x:c>
      <x:c r="R105" s="15" t="inlineStr">
        <x:is>
          <x:t xml:space="preserve">seg.1.1.1.10</x:t>
        </x:is>
      </x:c>
      <x:c r="S105" s="15" t="inlineStr">
        <x:is>
          <x:t xml:space="preserve">de+ru+en</x:t>
        </x:is>
      </x:c>
      <x:c r="T105" s="15" t="inlineStr">
        <x:is>
          <x:t xml:space="preserve">local_chain</x:t>
        </x:is>
      </x:c>
      <x:c r="U105" s="15" t="inlineStr">
        <x:is>
          <x:t xml:space="preserve"/>
        </x:is>
      </x:c>
    </x:row>
    <x:row r="106" ht="30" customHeight="1">
      <x:c r="A106" s="15" t="inlineStr">
        <x:is>
          <x:t xml:space="preserve">m095</x:t>
        </x:is>
      </x:c>
      <x:c r="B106" s="15" t="inlineStr">
        <x:is>
          <x:t xml:space="preserve">source_edge</x:t>
        </x:is>
      </x:c>
      <x:c r="C106" s="15" t="inlineStr">
        <x:is>
          <x:t xml:space="preserve">n.reflection</x:t>
        </x:is>
      </x:c>
      <x:c r="D106" s="15" t="inlineStr">
        <x:is>
          <x:t xml:space="preserve">отблеск / отражение</x:t>
        </x:is>
      </x:c>
      <x:c r="E106" s="15" t="inlineStr">
        <x:is>
          <x:t xml:space="preserve">reflective_quality</x:t>
        </x:is>
      </x:c>
      <x:c r="F106" s="15" t="inlineStr">
        <x:is>
          <x:t xml:space="preserve">reflects</x:t>
        </x:is>
      </x:c>
      <x:c r="G106" s="15" t="inlineStr">
        <x:is>
          <x:t xml:space="preserve">отражает</x:t>
        </x:is>
      </x:c>
      <x:c r="H106" s="15" t="inlineStr">
        <x:is>
          <x:t xml:space="preserve">n.bliss</x:t>
        </x:is>
      </x:c>
      <x:c r="I106" s="15" t="inlineStr">
        <x:is>
          <x:t xml:space="preserve">отрада / блаженство</x:t>
        </x:is>
      </x:c>
      <x:c r="J106" s="15" t="inlineStr">
        <x:is>
          <x:t xml:space="preserve">solar_quality</x:t>
        </x:is>
      </x:c>
      <x:c r="K106" s="15" t="inlineStr">
        <x:is>
          <x:t xml:space="preserve">source_linked</x:t>
        </x:is>
      </x:c>
      <x:c r="L106" s="15" t="inlineStr">
        <x:is>
          <x:t xml:space="preserve">1,1,1,10</x:t>
        </x:is>
      </x:c>
      <x:c r="M106" s="15" t="inlineStr">
        <x:is>
          <x:t xml:space="preserve"/>
        </x:is>
      </x:c>
      <x:c r="N106" s="15" t="n">
        <x:v>10</x:v>
      </x:c>
      <x:c r="O106" s="15" t="n">
        <x:v>10</x:v>
      </x:c>
      <x:c r="P106" s="15" t="inlineStr">
        <x:is>
          <x:t xml:space="preserve">[10]</x:t>
        </x:is>
      </x:c>
      <x:c r="Q106" s="15" t="inlineStr">
        <x:is>
          <x:t xml:space="preserve">|p10|</x:t>
        </x:is>
      </x:c>
      <x:c r="R106" s="15" t="inlineStr">
        <x:is>
          <x:t xml:space="preserve">seg.1.1.1.10</x:t>
        </x:is>
      </x:c>
      <x:c r="S106" s="15" t="inlineStr">
        <x:is>
          <x:t xml:space="preserve">de+ru+en</x:t>
        </x:is>
      </x:c>
      <x:c r="T106" s="15" t="inlineStr">
        <x:is>
          <x:t xml:space="preserve">local_chain</x:t>
        </x:is>
      </x:c>
      <x:c r="U106" s="15" t="inlineStr">
        <x:is>
          <x:t xml:space="preserve"/>
        </x:is>
      </x:c>
    </x:row>
    <x:row r="107" ht="30" customHeight="1">
      <x:c r="A107" s="15" t="inlineStr">
        <x:is>
          <x:t xml:space="preserve">m096</x:t>
        </x:is>
      </x:c>
      <x:c r="B107" s="15" t="inlineStr">
        <x:is>
          <x:t xml:space="preserve">source_edge</x:t>
        </x:is>
      </x:c>
      <x:c r="C107" s="15" t="inlineStr">
        <x:is>
          <x:t xml:space="preserve">n.bliss</x:t>
        </x:is>
      </x:c>
      <x:c r="D107" s="15" t="inlineStr">
        <x:is>
          <x:t xml:space="preserve">отрада / блаженство</x:t>
        </x:is>
      </x:c>
      <x:c r="E107" s="15" t="inlineStr">
        <x:is>
          <x:t xml:space="preserve">solar_quality</x:t>
        </x:is>
      </x:c>
      <x:c r="F107" s="15" t="inlineStr">
        <x:is>
          <x:t xml:space="preserve">pertains_to</x:t>
        </x:is>
      </x:c>
      <x:c r="G107" s="15" t="inlineStr">
        <x:is>
          <x:t xml:space="preserve">относится к</x:t>
        </x:is>
      </x:c>
      <x:c r="H107" s="15" t="inlineStr">
        <x:is>
          <x:t xml:space="preserve">n.sun</x:t>
        </x:is>
      </x:c>
      <x:c r="I107" s="15" t="inlineStr">
        <x:is>
          <x:t xml:space="preserve">солнце / великое светило</x:t>
        </x:is>
      </x:c>
      <x:c r="J107" s="15" t="inlineStr">
        <x:is>
          <x:t xml:space="preserve">cosmic_entity</x:t>
        </x:is>
      </x:c>
      <x:c r="K107" s="15" t="inlineStr">
        <x:is>
          <x:t xml:space="preserve">source_linked</x:t>
        </x:is>
      </x:c>
      <x:c r="L107" s="15" t="inlineStr">
        <x:is>
          <x:t xml:space="preserve">1,1,1,10</x:t>
        </x:is>
      </x:c>
      <x:c r="M107" s="15" t="inlineStr">
        <x:is>
          <x:t xml:space="preserve"/>
        </x:is>
      </x:c>
      <x:c r="N107" s="15" t="n">
        <x:v>10</x:v>
      </x:c>
      <x:c r="O107" s="15" t="n">
        <x:v>10</x:v>
      </x:c>
      <x:c r="P107" s="15" t="inlineStr">
        <x:is>
          <x:t xml:space="preserve">[10]</x:t>
        </x:is>
      </x:c>
      <x:c r="Q107" s="15" t="inlineStr">
        <x:is>
          <x:t xml:space="preserve">|p10|</x:t>
        </x:is>
      </x:c>
      <x:c r="R107" s="15" t="inlineStr">
        <x:is>
          <x:t xml:space="preserve">seg.1.1.1.10</x:t>
        </x:is>
      </x:c>
      <x:c r="S107" s="15" t="inlineStr">
        <x:is>
          <x:t xml:space="preserve">de+ru+en</x:t>
        </x:is>
      </x:c>
      <x:c r="T107" s="15" t="inlineStr">
        <x:is>
          <x:t xml:space="preserve">local_chain</x:t>
        </x:is>
      </x:c>
      <x:c r="U107" s="15" t="inlineStr">
        <x:is>
          <x:t xml:space="preserve">твоя отрада относится к светилу</x:t>
        </x:is>
      </x:c>
    </x:row>
    <x:row r="108" ht="30" customHeight="1">
      <x:c r="A108" s="16" t="inlineStr">
        <x:is>
          <x:t xml:space="preserve">m097</x:t>
        </x:is>
      </x:c>
      <x:c r="B108" s="16" t="inlineStr">
        <x:is>
          <x:t xml:space="preserve">bridge_edge</x:t>
        </x:is>
      </x:c>
      <x:c r="C108" s="16" t="inlineStr">
        <x:is>
          <x:t xml:space="preserve">ev.p10.request_blessing_of_cup</x:t>
        </x:is>
      </x:c>
      <x:c r="D108" s="16" t="inlineStr">
        <x:is>
          <x:t xml:space="preserve">просьба благословить чашу</x:t>
        </x:is>
      </x:c>
      <x:c r="E108" s="16" t="inlineStr">
        <x:is>
          <x:t xml:space="preserve">event</x:t>
        </x:is>
      </x:c>
      <x:c r="F108" s="16" t="inlineStr">
        <x:is>
          <x:t xml:space="preserve">prepares</x:t>
        </x:is>
      </x:c>
      <x:c r="G108" s="16" t="inlineStr">
        <x:is>
          <x:t xml:space="preserve">подготавливает</x:t>
        </x:is>
      </x:c>
      <x:c r="H108" s="16" t="inlineStr">
        <x:is>
          <x:t xml:space="preserve">st.p11.cup_wants_to_empty_again</x:t>
        </x:is>
      </x:c>
      <x:c r="I108" s="16" t="inlineStr">
        <x:is>
          <x:t xml:space="preserve">чаша хочет снова стать пустой</x:t>
        </x:is>
      </x:c>
      <x:c r="J108" s="16" t="inlineStr">
        <x:is>
          <x:t xml:space="preserve">state</x:t>
        </x:is>
      </x:c>
      <x:c r="K108" s="16" t="inlineStr">
        <x:is>
          <x:t xml:space="preserve">source_linked</x:t>
        </x:is>
      </x:c>
      <x:c r="L108" s="16" t="inlineStr">
        <x:is>
          <x:t xml:space="preserve">1,1,1,10</x:t>
        </x:is>
      </x:c>
      <x:c r="M108" s="16" t="inlineStr">
        <x:is>
          <x:t xml:space="preserve">1,1,1,11</x:t>
        </x:is>
      </x:c>
      <x:c r="N108" s="16" t="n">
        <x:v>10</x:v>
      </x:c>
      <x:c r="O108" s="16" t="n">
        <x:v>11</x:v>
      </x:c>
      <x:c r="P108" s="16" t="inlineStr">
        <x:is>
          <x:t xml:space="preserve">[10]-[11]</x:t>
        </x:is>
      </x:c>
      <x:c r="Q108" s="16" t="inlineStr">
        <x:is>
          <x:t xml:space="preserve">|p10|p11|</x:t>
        </x:is>
      </x:c>
      <x:c r="R108" s="16" t="inlineStr">
        <x:is>
          <x:t xml:space="preserve">seg.1.1.1.10|seg.1.1.1.11</x:t>
        </x:is>
      </x:c>
      <x:c r="S108" s="16" t="inlineStr">
        <x:is>
          <x:t xml:space="preserve">de+ru+en</x:t>
        </x:is>
      </x:c>
      <x:c r="T108" s="16" t="inlineStr">
        <x:is>
          <x:t xml:space="preserve">reasoning_bridge</x:t>
        </x:is>
      </x:c>
      <x:c r="U108" s="16" t="inlineStr">
        <x:is>
          <x:t xml:space="preserve"/>
        </x:is>
      </x:c>
    </x:row>
    <x:row r="109" ht="30" customHeight="1">
      <x:c r="A109" s="15" t="inlineStr">
        <x:is>
          <x:t xml:space="preserve">m098</x:t>
        </x:is>
      </x:c>
      <x:c r="B109" s="15" t="inlineStr">
        <x:is>
          <x:t xml:space="preserve">source_edge</x:t>
        </x:is>
      </x:c>
      <x:c r="C109" s="15" t="inlineStr">
        <x:is>
          <x:t xml:space="preserve">n.cup</x:t>
        </x:is>
      </x:c>
      <x:c r="D109" s="15" t="inlineStr">
        <x:is>
          <x:t xml:space="preserve">чаша</x:t>
        </x:is>
      </x:c>
      <x:c r="E109" s="15" t="inlineStr">
        <x:is>
          <x:t xml:space="preserve">vessel-symbol</x:t>
        </x:is>
      </x:c>
      <x:c r="F109" s="15" t="inlineStr">
        <x:is>
          <x:t xml:space="preserve">participates_in</x:t>
        </x:is>
      </x:c>
      <x:c r="G109" s="15" t="inlineStr">
        <x:is>
          <x:t xml:space="preserve">участвует в</x:t>
        </x:is>
      </x:c>
      <x:c r="H109" s="15" t="inlineStr">
        <x:is>
          <x:t xml:space="preserve">st.p11.cup_wants_to_empty_again</x:t>
        </x:is>
      </x:c>
      <x:c r="I109" s="15" t="inlineStr">
        <x:is>
          <x:t xml:space="preserve">чаша хочет снова стать пустой</x:t>
        </x:is>
      </x:c>
      <x:c r="J109" s="15" t="inlineStr">
        <x:is>
          <x:t xml:space="preserve">state</x:t>
        </x:is>
      </x:c>
      <x:c r="K109" s="15" t="inlineStr">
        <x:is>
          <x:t xml:space="preserve">source_linked</x:t>
        </x:is>
      </x:c>
      <x:c r="L109" s="15" t="inlineStr">
        <x:is>
          <x:t xml:space="preserve">1,1,1,11</x:t>
        </x:is>
      </x:c>
      <x:c r="M109" s="15" t="inlineStr">
        <x:is>
          <x:t xml:space="preserve"/>
        </x:is>
      </x:c>
      <x:c r="N109" s="15" t="n">
        <x:v>11</x:v>
      </x:c>
      <x:c r="O109" s="15" t="n">
        <x:v>11</x:v>
      </x:c>
      <x:c r="P109" s="15" t="inlineStr">
        <x:is>
          <x:t xml:space="preserve">[11]</x:t>
        </x:is>
      </x:c>
      <x:c r="Q109" s="15" t="inlineStr">
        <x:is>
          <x:t xml:space="preserve">|p11|</x:t>
        </x:is>
      </x:c>
      <x:c r="R109" s="15" t="inlineStr">
        <x:is>
          <x:t xml:space="preserve">seg.1.1.1.11</x:t>
        </x:is>
      </x:c>
      <x:c r="S109" s="15" t="inlineStr">
        <x:is>
          <x:t xml:space="preserve">de+ru+en</x:t>
        </x:is>
      </x:c>
      <x:c r="T109" s="15" t="inlineStr">
        <x:is>
          <x:t xml:space="preserve">local_chain</x:t>
        </x:is>
      </x:c>
      <x:c r="U109" s="15" t="inlineStr">
        <x:is>
          <x:t xml:space="preserve"/>
        </x:is>
      </x:c>
    </x:row>
    <x:row r="110" ht="30" customHeight="1">
      <x:c r="A110" s="15" t="inlineStr">
        <x:is>
          <x:t xml:space="preserve">m099</x:t>
        </x:is>
      </x:c>
      <x:c r="B110" s="15" t="inlineStr">
        <x:is>
          <x:t xml:space="preserve">source_edge</x:t>
        </x:is>
      </x:c>
      <x:c r="C110" s="15" t="inlineStr">
        <x:is>
          <x:t xml:space="preserve">st.p11.cup_wants_to_empty_again</x:t>
        </x:is>
      </x:c>
      <x:c r="D110" s="15" t="inlineStr">
        <x:is>
          <x:t xml:space="preserve">чаша хочет снова стать пустой</x:t>
        </x:is>
      </x:c>
      <x:c r="E110" s="15" t="inlineStr">
        <x:is>
          <x:t xml:space="preserve">state</x:t>
        </x:is>
      </x:c>
      <x:c r="F110" s="15" t="inlineStr">
        <x:is>
          <x:t xml:space="preserve">aims_at</x:t>
        </x:is>
      </x:c>
      <x:c r="G110" s="15" t="inlineStr">
        <x:is>
          <x:t xml:space="preserve">устремлено к</x:t>
        </x:is>
      </x:c>
      <x:c r="H110" s="15" t="inlineStr">
        <x:is>
          <x:t xml:space="preserve">n.emptiness</x:t>
        </x:is>
      </x:c>
      <x:c r="I110" s="15" t="inlineStr">
        <x:is>
          <x:t xml:space="preserve">пустота / опустошение</x:t>
        </x:is>
      </x:c>
      <x:c r="J110" s="15" t="inlineStr">
        <x:is>
          <x:t xml:space="preserve">state</x:t>
        </x:is>
      </x:c>
      <x:c r="K110" s="15" t="inlineStr">
        <x:is>
          <x:t xml:space="preserve">source_linked</x:t>
        </x:is>
      </x:c>
      <x:c r="L110" s="15" t="inlineStr">
        <x:is>
          <x:t xml:space="preserve">1,1,1,11</x:t>
        </x:is>
      </x:c>
      <x:c r="M110" s="15" t="inlineStr">
        <x:is>
          <x:t xml:space="preserve"/>
        </x:is>
      </x:c>
      <x:c r="N110" s="15" t="n">
        <x:v>11</x:v>
      </x:c>
      <x:c r="O110" s="15" t="n">
        <x:v>11</x:v>
      </x:c>
      <x:c r="P110" s="15" t="inlineStr">
        <x:is>
          <x:t xml:space="preserve">[11]</x:t>
        </x:is>
      </x:c>
      <x:c r="Q110" s="15" t="inlineStr">
        <x:is>
          <x:t xml:space="preserve">|p11|</x:t>
        </x:is>
      </x:c>
      <x:c r="R110" s="15" t="inlineStr">
        <x:is>
          <x:t xml:space="preserve">seg.1.1.1.11</x:t>
        </x:is>
      </x:c>
      <x:c r="S110" s="15" t="inlineStr">
        <x:is>
          <x:t xml:space="preserve">de+ru+en</x:t>
        </x:is>
      </x:c>
      <x:c r="T110" s="15" t="inlineStr">
        <x:is>
          <x:t xml:space="preserve">local_chain</x:t>
        </x:is>
      </x:c>
      <x:c r="U110" s="15" t="inlineStr">
        <x:is>
          <x:t xml:space="preserve"/>
        </x:is>
      </x:c>
    </x:row>
    <x:row r="111" ht="30" customHeight="1">
      <x:c r="A111" s="15" t="inlineStr">
        <x:is>
          <x:t xml:space="preserve">m100</x:t>
        </x:is>
      </x:c>
      <x:c r="B111" s="15" t="inlineStr">
        <x:is>
          <x:t xml:space="preserve">source_edge</x:t>
        </x:is>
      </x:c>
      <x:c r="C111" s="15" t="inlineStr">
        <x:is>
          <x:t xml:space="preserve">n.zarathustra</x:t>
        </x:is>
      </x:c>
      <x:c r="D111" s="15" t="inlineStr">
        <x:is>
          <x:t xml:space="preserve">Заратустра</x:t>
        </x:is>
      </x:c>
      <x:c r="E111" s="15" t="inlineStr">
        <x:is>
          <x:t xml:space="preserve">persona</x:t>
        </x:is>
      </x:c>
      <x:c r="F111" s="15" t="inlineStr">
        <x:is>
          <x:t xml:space="preserve">enters_state</x:t>
        </x:is>
      </x:c>
      <x:c r="G111" s="15" t="inlineStr">
        <x:is>
          <x:t xml:space="preserve">входит в состояние</x:t>
        </x:is>
      </x:c>
      <x:c r="H111" s="15" t="inlineStr">
        <x:is>
          <x:t xml:space="preserve">st.p11.zarathustra_wants_to_become_human_again</x:t>
        </x:is>
      </x:c>
      <x:c r="I111" s="15" t="inlineStr">
        <x:is>
          <x:t xml:space="preserve">Заратустра хочет снова стать человеком</x:t>
        </x:is>
      </x:c>
      <x:c r="J111" s="15" t="inlineStr">
        <x:is>
          <x:t xml:space="preserve">state</x:t>
        </x:is>
      </x:c>
      <x:c r="K111" s="15" t="inlineStr">
        <x:is>
          <x:t xml:space="preserve">source_linked</x:t>
        </x:is>
      </x:c>
      <x:c r="L111" s="15" t="inlineStr">
        <x:is>
          <x:t xml:space="preserve">1,1,1,11</x:t>
        </x:is>
      </x:c>
      <x:c r="M111" s="15" t="inlineStr">
        <x:is>
          <x:t xml:space="preserve"/>
        </x:is>
      </x:c>
      <x:c r="N111" s="15" t="n">
        <x:v>11</x:v>
      </x:c>
      <x:c r="O111" s="15" t="n">
        <x:v>11</x:v>
      </x:c>
      <x:c r="P111" s="15" t="inlineStr">
        <x:is>
          <x:t xml:space="preserve">[11]</x:t>
        </x:is>
      </x:c>
      <x:c r="Q111" s="15" t="inlineStr">
        <x:is>
          <x:t xml:space="preserve">|p11|</x:t>
        </x:is>
      </x:c>
      <x:c r="R111" s="15" t="inlineStr">
        <x:is>
          <x:t xml:space="preserve">seg.1.1.1.11</x:t>
        </x:is>
      </x:c>
      <x:c r="S111" s="15" t="inlineStr">
        <x:is>
          <x:t xml:space="preserve">de+ru+en</x:t>
        </x:is>
      </x:c>
      <x:c r="T111" s="15" t="inlineStr">
        <x:is>
          <x:t xml:space="preserve">local_chain</x:t>
        </x:is>
      </x:c>
      <x:c r="U111" s="15" t="inlineStr">
        <x:is>
          <x:t xml:space="preserve"/>
        </x:is>
      </x:c>
    </x:row>
    <x:row r="112" ht="30" customHeight="1">
      <x:c r="A112" s="15" t="inlineStr">
        <x:is>
          <x:t xml:space="preserve">m101</x:t>
        </x:is>
      </x:c>
      <x:c r="B112" s="15" t="inlineStr">
        <x:is>
          <x:t xml:space="preserve">source_edge</x:t>
        </x:is>
      </x:c>
      <x:c r="C112" s="15" t="inlineStr">
        <x:is>
          <x:t xml:space="preserve">st.p11.zarathustra_wants_to_become_human_again</x:t>
        </x:is>
      </x:c>
      <x:c r="D112" s="15" t="inlineStr">
        <x:is>
          <x:t xml:space="preserve">Заратустра хочет снова стать человеком</x:t>
        </x:is>
      </x:c>
      <x:c r="E112" s="15" t="inlineStr">
        <x:is>
          <x:t xml:space="preserve">state</x:t>
        </x:is>
      </x:c>
      <x:c r="F112" s="15" t="inlineStr">
        <x:is>
          <x:t xml:space="preserve">aims_at</x:t>
        </x:is>
      </x:c>
      <x:c r="G112" s="15" t="inlineStr">
        <x:is>
          <x:t xml:space="preserve">устремлено к</x:t>
        </x:is>
      </x:c>
      <x:c r="H112" s="15" t="inlineStr">
        <x:is>
          <x:t xml:space="preserve">n.human</x:t>
        </x:is>
      </x:c>
      <x:c r="I112" s="15" t="inlineStr">
        <x:is>
          <x:t xml:space="preserve">человек</x:t>
        </x:is>
      </x:c>
      <x:c r="J112" s="15" t="inlineStr">
        <x:is>
          <x:t xml:space="preserve">anthropic_state</x:t>
        </x:is>
      </x:c>
      <x:c r="K112" s="15" t="inlineStr">
        <x:is>
          <x:t xml:space="preserve">source_linked</x:t>
        </x:is>
      </x:c>
      <x:c r="L112" s="15" t="inlineStr">
        <x:is>
          <x:t xml:space="preserve">1,1,1,11</x:t>
        </x:is>
      </x:c>
      <x:c r="M112" s="15" t="inlineStr">
        <x:is>
          <x:t xml:space="preserve"/>
        </x:is>
      </x:c>
      <x:c r="N112" s="15" t="n">
        <x:v>11</x:v>
      </x:c>
      <x:c r="O112" s="15" t="n">
        <x:v>11</x:v>
      </x:c>
      <x:c r="P112" s="15" t="inlineStr">
        <x:is>
          <x:t xml:space="preserve">[11]</x:t>
        </x:is>
      </x:c>
      <x:c r="Q112" s="15" t="inlineStr">
        <x:is>
          <x:t xml:space="preserve">|p11|</x:t>
        </x:is>
      </x:c>
      <x:c r="R112" s="15" t="inlineStr">
        <x:is>
          <x:t xml:space="preserve">seg.1.1.1.11</x:t>
        </x:is>
      </x:c>
      <x:c r="S112" s="15" t="inlineStr">
        <x:is>
          <x:t xml:space="preserve">de+ru+en</x:t>
        </x:is>
      </x:c>
      <x:c r="T112" s="15" t="inlineStr">
        <x:is>
          <x:t xml:space="preserve">local_chain</x:t>
        </x:is>
      </x:c>
      <x:c r="U112" s="15" t="inlineStr">
        <x:is>
          <x:t xml:space="preserve"/>
        </x:is>
      </x:c>
    </x:row>
    <x:row r="113" ht="30" customHeight="1">
      <x:c r="A113" s="15" t="inlineStr">
        <x:is>
          <x:t xml:space="preserve">m102</x:t>
        </x:is>
      </x:c>
      <x:c r="B113" s="15" t="inlineStr">
        <x:is>
          <x:t xml:space="preserve">source_edge</x:t>
        </x:is>
      </x:c>
      <x:c r="C113" s="15" t="inlineStr">
        <x:is>
          <x:t xml:space="preserve">st.p11.zarathustra_wants_to_become_human_again</x:t>
        </x:is>
      </x:c>
      <x:c r="D113" s="15" t="inlineStr">
        <x:is>
          <x:t xml:space="preserve">Заратустра хочет снова стать человеком</x:t>
        </x:is>
      </x:c>
      <x:c r="E113" s="15" t="inlineStr">
        <x:is>
          <x:t xml:space="preserve">state</x:t>
        </x:is>
      </x:c>
      <x:c r="F113" s="15" t="inlineStr">
        <x:is>
          <x:t xml:space="preserve">mirrors</x:t>
        </x:is>
      </x:c>
      <x:c r="G113" s="15" t="inlineStr">
        <x:is>
          <x:t xml:space="preserve">отзеркаливает</x:t>
        </x:is>
      </x:c>
      <x:c r="H113" s="15" t="inlineStr">
        <x:is>
          <x:t xml:space="preserve">st.p11.cup_wants_to_empty_again</x:t>
        </x:is>
      </x:c>
      <x:c r="I113" s="15" t="inlineStr">
        <x:is>
          <x:t xml:space="preserve">чаша хочет снова стать пустой</x:t>
        </x:is>
      </x:c>
      <x:c r="J113" s="15" t="inlineStr">
        <x:is>
          <x:t xml:space="preserve">state</x:t>
        </x:is>
      </x:c>
      <x:c r="K113" s="15" t="inlineStr">
        <x:is>
          <x:t xml:space="preserve">source_linked</x:t>
        </x:is>
      </x:c>
      <x:c r="L113" s="15" t="inlineStr">
        <x:is>
          <x:t xml:space="preserve">1,1,1,11</x:t>
        </x:is>
      </x:c>
      <x:c r="M113" s="15" t="inlineStr">
        <x:is>
          <x:t xml:space="preserve"/>
        </x:is>
      </x:c>
      <x:c r="N113" s="15" t="n">
        <x:v>11</x:v>
      </x:c>
      <x:c r="O113" s="15" t="n">
        <x:v>11</x:v>
      </x:c>
      <x:c r="P113" s="15" t="inlineStr">
        <x:is>
          <x:t xml:space="preserve">[11]</x:t>
        </x:is>
      </x:c>
      <x:c r="Q113" s="15" t="inlineStr">
        <x:is>
          <x:t xml:space="preserve">|p11|</x:t>
        </x:is>
      </x:c>
      <x:c r="R113" s="15" t="inlineStr">
        <x:is>
          <x:t xml:space="preserve">seg.1.1.1.11</x:t>
        </x:is>
      </x:c>
      <x:c r="S113" s="15" t="inlineStr">
        <x:is>
          <x:t xml:space="preserve">de+ru+en</x:t>
        </x:is>
      </x:c>
      <x:c r="T113" s="15" t="inlineStr">
        <x:is>
          <x:t xml:space="preserve">local_chain</x:t>
        </x:is>
      </x:c>
      <x:c r="U113" s="15" t="inlineStr">
        <x:is>
          <x:t xml:space="preserve">чаша и Заратустра движутся параллельно</x:t>
        </x:is>
      </x:c>
    </x:row>
    <x:row r="114" ht="30" customHeight="1">
      <x:c r="A114" s="16" t="inlineStr">
        <x:is>
          <x:t xml:space="preserve">m103</x:t>
        </x:is>
      </x:c>
      <x:c r="B114" s="16" t="inlineStr">
        <x:is>
          <x:t xml:space="preserve">bridge_edge</x:t>
        </x:is>
      </x:c>
      <x:c r="C114" s="16" t="inlineStr">
        <x:is>
          <x:t xml:space="preserve">st.p11.zarathustra_wants_to_become_human_again</x:t>
        </x:is>
      </x:c>
      <x:c r="D114" s="16" t="inlineStr">
        <x:is>
          <x:t xml:space="preserve">Заратустра хочет снова стать человеком</x:t>
        </x:is>
      </x:c>
      <x:c r="E114" s="16" t="inlineStr">
        <x:is>
          <x:t xml:space="preserve">state</x:t>
        </x:is>
      </x:c>
      <x:c r="F114" s="16" t="inlineStr">
        <x:is>
          <x:t xml:space="preserve">culminates_in</x:t>
        </x:is>
      </x:c>
      <x:c r="G114" s="16" t="inlineStr">
        <x:is>
          <x:t xml:space="preserve">кульминирует в</x:t>
        </x:is>
      </x:c>
      <x:c r="H114" s="16" t="inlineStr">
        <x:is>
          <x:t xml:space="preserve">ev.p12.beginning_of_zarathustra_going_under</x:t>
        </x:is>
      </x:c>
      <x:c r="I114" s="16" t="inlineStr">
        <x:is>
          <x:t xml:space="preserve">начало заката Заратустры</x:t>
        </x:is>
      </x:c>
      <x:c r="J114" s="16" t="inlineStr">
        <x:is>
          <x:t xml:space="preserve">event</x:t>
        </x:is>
      </x:c>
      <x:c r="K114" s="16" t="inlineStr">
        <x:is>
          <x:t xml:space="preserve">source_linked</x:t>
        </x:is>
      </x:c>
      <x:c r="L114" s="16" t="inlineStr">
        <x:is>
          <x:t xml:space="preserve">1,1,1,11</x:t>
        </x:is>
      </x:c>
      <x:c r="M114" s="16" t="inlineStr">
        <x:is>
          <x:t xml:space="preserve">1,1,1,12</x:t>
        </x:is>
      </x:c>
      <x:c r="N114" s="16" t="n">
        <x:v>11</x:v>
      </x:c>
      <x:c r="O114" s="16" t="n">
        <x:v>12</x:v>
      </x:c>
      <x:c r="P114" s="16" t="inlineStr">
        <x:is>
          <x:t xml:space="preserve">[11]-[12]</x:t>
        </x:is>
      </x:c>
      <x:c r="Q114" s="16" t="inlineStr">
        <x:is>
          <x:t xml:space="preserve">|p11|p12|</x:t>
        </x:is>
      </x:c>
      <x:c r="R114" s="16" t="inlineStr">
        <x:is>
          <x:t xml:space="preserve">seg.1.1.1.11|seg.1.1.1.12</x:t>
        </x:is>
      </x:c>
      <x:c r="S114" s="16" t="inlineStr">
        <x:is>
          <x:t xml:space="preserve">de+ru+en</x:t>
        </x:is>
      </x:c>
      <x:c r="T114" s="16" t="inlineStr">
        <x:is>
          <x:t xml:space="preserve">reasoning_bridge</x:t>
        </x:is>
      </x:c>
      <x:c r="U114" s="16" t="inlineStr">
        <x:is>
          <x:t xml:space="preserve"/>
        </x:is>
      </x:c>
    </x:row>
    <x:row r="115" ht="30" customHeight="1">
      <x:c r="A115" s="15" t="inlineStr">
        <x:is>
          <x:t xml:space="preserve">m104</x:t>
        </x:is>
      </x:c>
      <x:c r="B115" s="15" t="inlineStr">
        <x:is>
          <x:t xml:space="preserve">source_edge</x:t>
        </x:is>
      </x:c>
      <x:c r="C115" s="15" t="inlineStr">
        <x:is>
          <x:t xml:space="preserve">n.zarathustra</x:t>
        </x:is>
      </x:c>
      <x:c r="D115" s="15" t="inlineStr">
        <x:is>
          <x:t xml:space="preserve">Заратустра</x:t>
        </x:is>
      </x:c>
      <x:c r="E115" s="15" t="inlineStr">
        <x:is>
          <x:t xml:space="preserve">persona</x:t>
        </x:is>
      </x:c>
      <x:c r="F115" s="15" t="inlineStr">
        <x:is>
          <x:t xml:space="preserve">participates_in</x:t>
        </x:is>
      </x:c>
      <x:c r="G115" s="15" t="inlineStr">
        <x:is>
          <x:t xml:space="preserve">участвует в</x:t>
        </x:is>
      </x:c>
      <x:c r="H115" s="15" t="inlineStr">
        <x:is>
          <x:t xml:space="preserve">ev.p12.beginning_of_zarathustra_going_under</x:t>
        </x:is>
      </x:c>
      <x:c r="I115" s="15" t="inlineStr">
        <x:is>
          <x:t xml:space="preserve">начало заката Заратустры</x:t>
        </x:is>
      </x:c>
      <x:c r="J115" s="15" t="inlineStr">
        <x:is>
          <x:t xml:space="preserve">event</x:t>
        </x:is>
      </x:c>
      <x:c r="K115" s="15" t="inlineStr">
        <x:is>
          <x:t xml:space="preserve">source_linked</x:t>
        </x:is>
      </x:c>
      <x:c r="L115" s="15" t="inlineStr">
        <x:is>
          <x:t xml:space="preserve">1,1,1,12</x:t>
        </x:is>
      </x:c>
      <x:c r="M115" s="15" t="inlineStr">
        <x:is>
          <x:t xml:space="preserve"/>
        </x:is>
      </x:c>
      <x:c r="N115" s="15" t="n">
        <x:v>12</x:v>
      </x:c>
      <x:c r="O115" s="15" t="n">
        <x:v>12</x:v>
      </x:c>
      <x:c r="P115" s="15" t="inlineStr">
        <x:is>
          <x:t xml:space="preserve">[12]</x:t>
        </x:is>
      </x:c>
      <x:c r="Q115" s="15" t="inlineStr">
        <x:is>
          <x:t xml:space="preserve">|p12|</x:t>
        </x:is>
      </x:c>
      <x:c r="R115" s="15" t="inlineStr">
        <x:is>
          <x:t xml:space="preserve">seg.1.1.1.12</x:t>
        </x:is>
      </x:c>
      <x:c r="S115" s="15" t="inlineStr">
        <x:is>
          <x:t xml:space="preserve">de+ru+en</x:t>
        </x:is>
      </x:c>
      <x:c r="T115" s="15" t="inlineStr">
        <x:is>
          <x:t xml:space="preserve">local_chain</x:t>
        </x:is>
      </x:c>
      <x:c r="U115" s="15" t="inlineStr">
        <x:is>
          <x:t xml:space="preserve"/>
        </x:is>
      </x:c>
    </x:row>
    <x:row r="116" ht="30" customHeight="1">
      <x:c r="A116" s="15" t="inlineStr">
        <x:is>
          <x:t xml:space="preserve">m105</x:t>
        </x:is>
      </x:c>
      <x:c r="B116" s="15" t="inlineStr">
        <x:is>
          <x:t xml:space="preserve">source_edge</x:t>
        </x:is>
      </x:c>
      <x:c r="C116" s="15" t="inlineStr">
        <x:is>
          <x:t xml:space="preserve">ev.p12.beginning_of_zarathustra_going_under</x:t>
        </x:is>
      </x:c>
      <x:c r="D116" s="15" t="inlineStr">
        <x:is>
          <x:t xml:space="preserve">начало заката Заратустры</x:t>
        </x:is>
      </x:c>
      <x:c r="E116" s="15" t="inlineStr">
        <x:is>
          <x:t xml:space="preserve">event</x:t>
        </x:is>
      </x:c>
      <x:c r="F116" s="15" t="inlineStr">
        <x:is>
          <x:t xml:space="preserve">concerns</x:t>
        </x:is>
      </x:c>
      <x:c r="G116" s="15" t="inlineStr">
        <x:is>
          <x:t xml:space="preserve">касается</x:t>
        </x:is>
      </x:c>
      <x:c r="H116" s="15" t="inlineStr">
        <x:is>
          <x:t xml:space="preserve">n.go_under</x:t>
        </x:is>
      </x:c>
      <x:c r="I116" s="15" t="inlineStr">
        <x:is>
          <x:t xml:space="preserve">закатиться / untergehen / go under</x:t>
        </x:is>
      </x:c>
      <x:c r="J116" s="15" t="inlineStr">
        <x:is>
          <x:t xml:space="preserve">hinge-term</x:t>
        </x:is>
      </x:c>
      <x:c r="K116" s="15" t="inlineStr">
        <x:is>
          <x:t xml:space="preserve">source_linked</x:t>
        </x:is>
      </x:c>
      <x:c r="L116" s="15" t="inlineStr">
        <x:is>
          <x:t xml:space="preserve">1,1,1,12</x:t>
        </x:is>
      </x:c>
      <x:c r="M116" s="15" t="inlineStr">
        <x:is>
          <x:t xml:space="preserve"/>
        </x:is>
      </x:c>
      <x:c r="N116" s="15" t="n">
        <x:v>12</x:v>
      </x:c>
      <x:c r="O116" s="15" t="n">
        <x:v>12</x:v>
      </x:c>
      <x:c r="P116" s="15" t="inlineStr">
        <x:is>
          <x:t xml:space="preserve">[12]</x:t>
        </x:is>
      </x:c>
      <x:c r="Q116" s="15" t="inlineStr">
        <x:is>
          <x:t xml:space="preserve">|p12|</x:t>
        </x:is>
      </x:c>
      <x:c r="R116" s="15" t="inlineStr">
        <x:is>
          <x:t xml:space="preserve">seg.1.1.1.12</x:t>
        </x:is>
      </x:c>
      <x:c r="S116" s="15" t="inlineStr">
        <x:is>
          <x:t xml:space="preserve">de+ru+en</x:t>
        </x:is>
      </x:c>
      <x:c r="T116" s="15" t="inlineStr">
        <x:is>
          <x:t xml:space="preserve">local_chain</x:t>
        </x:is>
      </x:c>
      <x:c r="U116" s="15" t="inlineStr">
        <x:is>
          <x:t xml:space="preserve"/>
        </x:is>
      </x:c>
    </x:row>
    <x:row r="117" ht="30" customHeight="1">
      <x:c r="A117" s="16" t="inlineStr">
        <x:is>
          <x:t xml:space="preserve">m106</x:t>
        </x:is>
      </x:c>
      <x:c r="B117" s="16" t="inlineStr">
        <x:is>
          <x:t xml:space="preserve">bridge_edge</x:t>
        </x:is>
      </x:c>
      <x:c r="C117" s="16" t="inlineStr">
        <x:is>
          <x:t xml:space="preserve">ev.p8.go_under_to_humans</x:t>
        </x:is>
      </x:c>
      <x:c r="D117" s="16" t="inlineStr">
        <x:is>
          <x:t xml:space="preserve">закатиться к людям</x:t>
        </x:is>
      </x:c>
      <x:c r="E117" s="16" t="inlineStr">
        <x:is>
          <x:t xml:space="preserve">event</x:t>
        </x:is>
      </x:c>
      <x:c r="F117" s="16" t="inlineStr">
        <x:is>
          <x:t xml:space="preserve">culminates_in</x:t>
        </x:is>
      </x:c>
      <x:c r="G117" s="16" t="inlineStr">
        <x:is>
          <x:t xml:space="preserve">кульминирует в</x:t>
        </x:is>
      </x:c>
      <x:c r="H117" s="16" t="inlineStr">
        <x:is>
          <x:t xml:space="preserve">ev.p12.beginning_of_zarathustra_going_under</x:t>
        </x:is>
      </x:c>
      <x:c r="I117" s="16" t="inlineStr">
        <x:is>
          <x:t xml:space="preserve">начало заката Заратустры</x:t>
        </x:is>
      </x:c>
      <x:c r="J117" s="16" t="inlineStr">
        <x:is>
          <x:t xml:space="preserve">event</x:t>
        </x:is>
      </x:c>
      <x:c r="K117" s="16" t="inlineStr">
        <x:is>
          <x:t xml:space="preserve">source_linked</x:t>
        </x:is>
      </x:c>
      <x:c r="L117" s="16" t="inlineStr">
        <x:is>
          <x:t xml:space="preserve">1,1,1,8</x:t>
        </x:is>
      </x:c>
      <x:c r="M117" s="16" t="inlineStr">
        <x:is>
          <x:t xml:space="preserve">1,1,1,12</x:t>
        </x:is>
      </x:c>
      <x:c r="N117" s="16" t="n">
        <x:v>8</x:v>
      </x:c>
      <x:c r="O117" s="16" t="n">
        <x:v>12</x:v>
      </x:c>
      <x:c r="P117" s="16" t="inlineStr">
        <x:is>
          <x:t xml:space="preserve">[8]-[12]</x:t>
        </x:is>
      </x:c>
      <x:c r="Q117" s="16" t="inlineStr">
        <x:is>
          <x:t xml:space="preserve">|p8|p12|</x:t>
        </x:is>
      </x:c>
      <x:c r="R117" s="16" t="inlineStr">
        <x:is>
          <x:t xml:space="preserve">seg.1.1.1.8|seg.1.1.1.12</x:t>
        </x:is>
      </x:c>
      <x:c r="S117" s="16" t="inlineStr">
        <x:is>
          <x:t xml:space="preserve">de+ru+en</x:t>
        </x:is>
      </x:c>
      <x:c r="T117" s="16" t="inlineStr">
        <x:is>
          <x:t xml:space="preserve">reasoning_bridge</x:t>
        </x:is>
      </x:c>
      <x:c r="U117" s="16" t="inlineStr">
        <x:is>
          <x:t xml:space="preserve">намеченный спуск становится начавшимся путем</x:t>
        </x:is>
      </x:c>
    </x:row>
    <x:row r="118" ht="30" customHeight="1">
      <x:c r="A118" s="17" t="inlineStr">
        <x:is>
          <x:t xml:space="preserve">m107</x:t>
        </x:is>
      </x:c>
      <x:c r="B118" s="17" t="inlineStr">
        <x:is>
          <x:t xml:space="preserve">principle_edge</x:t>
        </x:is>
      </x:c>
      <x:c r="C118" s="17" t="inlineStr">
        <x:is>
          <x:t xml:space="preserve">pr.solitude_as_ripening</x:t>
        </x:is>
      </x:c>
      <x:c r="D118" s="17" t="inlineStr">
        <x:is>
          <x:t xml:space="preserve">уединение как созревание</x:t>
        </x:is>
      </x:c>
      <x:c r="E118" s="17" t="inlineStr">
        <x:is>
          <x:t xml:space="preserve">principle</x:t>
        </x:is>
      </x:c>
      <x:c r="F118" s="17" t="inlineStr">
        <x:is>
          <x:t xml:space="preserve">supported_by</x:t>
        </x:is>
      </x:c>
      <x:c r="G118" s="17" t="inlineStr">
        <x:is>
          <x:t xml:space="preserve">поддерживается</x:t>
        </x:is>
      </x:c>
      <x:c r="H118" s="17" t="inlineStr">
        <x:is>
          <x:t xml:space="preserve">st.p1.solitary_ripening_10y</x:t>
        </x:is>
      </x:c>
      <x:c r="I118" s="17" t="inlineStr">
        <x:is>
          <x:t xml:space="preserve">десятилетнее горное уединение</x:t>
        </x:is>
      </x:c>
      <x:c r="J118" s="17" t="inlineStr">
        <x:is>
          <x:t xml:space="preserve">state</x:t>
        </x:is>
      </x:c>
      <x:c r="K118" s="17" t="inlineStr">
        <x:is>
          <x:t xml:space="preserve">distilled_principle</x:t>
        </x:is>
      </x:c>
      <x:c r="L118" s="17" t="inlineStr">
        <x:is>
          <x:t xml:space="preserve">1,1,1,1</x:t>
        </x:is>
      </x:c>
      <x:c r="M118" s="17" t="inlineStr">
        <x:is>
          <x:t xml:space="preserve"/>
        </x:is>
      </x:c>
      <x:c r="N118" s="17" t="n">
        <x:v>1</x:v>
      </x:c>
      <x:c r="O118" s="17" t="n">
        <x:v>1</x:v>
      </x:c>
      <x:c r="P118" s="17" t="inlineStr">
        <x:is>
          <x:t xml:space="preserve">[1]</x:t>
        </x:is>
      </x:c>
      <x:c r="Q118" s="17" t="inlineStr">
        <x:is>
          <x:t xml:space="preserve">|p1|</x:t>
        </x:is>
      </x:c>
      <x:c r="R118" s="17" t="inlineStr">
        <x:is>
          <x:t xml:space="preserve">seg.1.1.1.1</x:t>
        </x:is>
      </x:c>
      <x:c r="S118" s="17" t="inlineStr">
        <x:is>
          <x:t xml:space="preserve">de+ru+en</x:t>
        </x:is>
      </x:c>
      <x:c r="T118" s="17" t="inlineStr">
        <x:is>
          <x:t xml:space="preserve">principle_support</x:t>
        </x:is>
      </x:c>
      <x:c r="U118" s="17" t="inlineStr">
        <x:is>
          <x:t xml:space="preserve">уединение не пустота, а созревание</x:t>
        </x:is>
      </x:c>
    </x:row>
    <x:row r="119" ht="30" customHeight="1">
      <x:c r="A119" s="18" t="inlineStr">
        <x:is>
          <x:t xml:space="preserve">m108</x:t>
        </x:is>
      </x:c>
      <x:c r="B119" s="18" t="inlineStr">
        <x:is>
          <x:t xml:space="preserve">principle_edge</x:t>
        </x:is>
      </x:c>
      <x:c r="C119" s="18" t="inlineStr">
        <x:is>
          <x:t xml:space="preserve">pr.departure_from_reflective_origin</x:t>
        </x:is>
      </x:c>
      <x:c r="D119" s="18" t="inlineStr">
        <x:is>
          <x:t xml:space="preserve">уход от отражённого истока</x:t>
        </x:is>
      </x:c>
      <x:c r="E119" s="18" t="inlineStr">
        <x:is>
          <x:t xml:space="preserve">principle</x:t>
        </x:is>
      </x:c>
      <x:c r="F119" s="18" t="inlineStr">
        <x:is>
          <x:t xml:space="preserve">supported_by</x:t>
        </x:is>
      </x:c>
      <x:c r="G119" s="18" t="inlineStr">
        <x:is>
          <x:t xml:space="preserve">поддерживается</x:t>
        </x:is>
      </x:c>
      <x:c r="H119" s="18" t="inlineStr">
        <x:is>
          <x:t xml:space="preserve">ev.p1.departure_from_origin</x:t>
        </x:is>
      </x:c>
      <x:c r="I119" s="18" t="inlineStr">
        <x:is>
          <x:t xml:space="preserve">уход из родины и озера</x:t>
        </x:is>
      </x:c>
      <x:c r="J119" s="18" t="inlineStr">
        <x:is>
          <x:t xml:space="preserve">event</x:t>
        </x:is>
      </x:c>
      <x:c r="K119" s="18" t="inlineStr">
        <x:is>
          <x:t xml:space="preserve">authored_commentary</x:t>
        </x:is>
      </x:c>
      <x:c r="L119" s="18" t="inlineStr">
        <x:is>
          <x:t xml:space="preserve">1,1,1,1</x:t>
        </x:is>
      </x:c>
      <x:c r="M119" s="18" t="inlineStr">
        <x:is>
          <x:t xml:space="preserve"/>
        </x:is>
      </x:c>
      <x:c r="N119" s="18" t="n">
        <x:v>1</x:v>
      </x:c>
      <x:c r="O119" s="18" t="n">
        <x:v>1</x:v>
      </x:c>
      <x:c r="P119" s="18" t="inlineStr">
        <x:is>
          <x:t xml:space="preserve">[1]</x:t>
        </x:is>
      </x:c>
      <x:c r="Q119" s="18" t="inlineStr">
        <x:is>
          <x:t xml:space="preserve">|p1|</x:t>
        </x:is>
      </x:c>
      <x:c r="R119" s="18" t="inlineStr">
        <x:is>
          <x:t xml:space="preserve">seg.1.1.1.1</x:t>
        </x:is>
      </x:c>
      <x:c r="S119" s="18" t="inlineStr">
        <x:is>
          <x:t xml:space="preserve">authored</x:t>
        </x:is>
      </x:c>
      <x:c r="T119" s="18" t="inlineStr">
        <x:is>
          <x:t xml:space="preserve">symbolic_support</x:t>
        </x:is>
      </x:c>
      <x:c r="U119" s="18" t="inlineStr">
        <x:is>
          <x:t xml:space="preserve">озеро читается как отражённый исток</x:t>
        </x:is>
      </x:c>
    </x:row>
    <x:row r="120" ht="30" customHeight="1">
      <x:c r="A120" s="17" t="inlineStr">
        <x:is>
          <x:t xml:space="preserve">m109</x:t>
        </x:is>
      </x:c>
      <x:c r="B120" s="17" t="inlineStr">
        <x:is>
          <x:t xml:space="preserve">principle_edge</x:t>
        </x:is>
      </x:c>
      <x:c r="C120" s="17" t="inlineStr">
        <x:is>
          <x:t xml:space="preserve">pr.happiness_is_relational</x:t>
        </x:is>
      </x:c>
      <x:c r="D120" s="17" t="inlineStr">
        <x:is>
          <x:t xml:space="preserve">счастье реляционно</x:t>
        </x:is>
      </x:c>
      <x:c r="E120" s="17" t="inlineStr">
        <x:is>
          <x:t xml:space="preserve">principle</x:t>
        </x:is>
      </x:c>
      <x:c r="F120" s="17" t="inlineStr">
        <x:is>
          <x:t xml:space="preserve">supported_by</x:t>
        </x:is>
      </x:c>
      <x:c r="G120" s="17" t="inlineStr">
        <x:is>
          <x:t xml:space="preserve">поддерживается</x:t>
        </x:is>
      </x:c>
      <x:c r="H120" s="17" t="inlineStr">
        <x:is>
          <x:t xml:space="preserve">st.p2.solar_happiness_requires_recipients</x:t>
        </x:is>
      </x:c>
      <x:c r="I120" s="17" t="inlineStr">
        <x:is>
          <x:t xml:space="preserve">счастье светила требует адресатов света</x:t>
        </x:is>
      </x:c>
      <x:c r="J120" s="17" t="inlineStr">
        <x:is>
          <x:t xml:space="preserve">state</x:t>
        </x:is>
      </x:c>
      <x:c r="K120" s="17" t="inlineStr">
        <x:is>
          <x:t xml:space="preserve">distilled_principle</x:t>
        </x:is>
      </x:c>
      <x:c r="L120" s="17" t="inlineStr">
        <x:is>
          <x:t xml:space="preserve">1,1,1,2</x:t>
        </x:is>
      </x:c>
      <x:c r="M120" s="17" t="inlineStr">
        <x:is>
          <x:t xml:space="preserve"/>
        </x:is>
      </x:c>
      <x:c r="N120" s="17" t="n">
        <x:v>2</x:v>
      </x:c>
      <x:c r="O120" s="17" t="n">
        <x:v>2</x:v>
      </x:c>
      <x:c r="P120" s="17" t="inlineStr">
        <x:is>
          <x:t xml:space="preserve">[2]</x:t>
        </x:is>
      </x:c>
      <x:c r="Q120" s="17" t="inlineStr">
        <x:is>
          <x:t xml:space="preserve">|p2|</x:t>
        </x:is>
      </x:c>
      <x:c r="R120" s="17" t="inlineStr">
        <x:is>
          <x:t xml:space="preserve">seg.1.1.1.2</x:t>
        </x:is>
      </x:c>
      <x:c r="S120" s="17" t="inlineStr">
        <x:is>
          <x:t xml:space="preserve">de+ru+en</x:t>
        </x:is>
      </x:c>
      <x:c r="T120" s="17" t="inlineStr">
        <x:is>
          <x:t xml:space="preserve">principle_support</x:t>
        </x:is>
      </x:c>
      <x:c r="U120" s="17" t="inlineStr">
        <x:is>
          <x:t xml:space="preserve"/>
        </x:is>
      </x:c>
    </x:row>
    <x:row r="121" ht="30" customHeight="1">
      <x:c r="A121" s="17" t="inlineStr">
        <x:is>
          <x:t xml:space="preserve">m110</x:t>
        </x:is>
      </x:c>
      <x:c r="B121" s="17" t="inlineStr">
        <x:is>
          <x:t xml:space="preserve">principle_edge</x:t>
        </x:is>
      </x:c>
      <x:c r="C121" s="17" t="inlineStr">
        <x:is>
          <x:t xml:space="preserve">pr.overflow_can_be_received</x:t>
        </x:is>
      </x:c>
      <x:c r="D121" s="17" t="inlineStr">
        <x:is>
          <x:t xml:space="preserve">избыток может быть принят</x:t>
        </x:is>
      </x:c>
      <x:c r="E121" s="17" t="inlineStr">
        <x:is>
          <x:t xml:space="preserve">principle</x:t>
        </x:is>
      </x:c>
      <x:c r="F121" s="17" t="inlineStr">
        <x:is>
          <x:t xml:space="preserve">supported_by</x:t>
        </x:is>
      </x:c>
      <x:c r="G121" s="17" t="inlineStr">
        <x:is>
          <x:t xml:space="preserve">поддерживается</x:t>
        </x:is>
      </x:c>
      <x:c r="H121" s="17" t="inlineStr">
        <x:is>
          <x:t xml:space="preserve">ev.p4.receive_overflow_from_sun</x:t>
        </x:is>
      </x:c>
      <x:c r="I121" s="17" t="inlineStr">
        <x:is>
          <x:t xml:space="preserve">принятие избытка солнца</x:t>
        </x:is>
      </x:c>
      <x:c r="J121" s="17" t="inlineStr">
        <x:is>
          <x:t xml:space="preserve">event</x:t>
        </x:is>
      </x:c>
      <x:c r="K121" s="17" t="inlineStr">
        <x:is>
          <x:t xml:space="preserve">distilled_principle</x:t>
        </x:is>
      </x:c>
      <x:c r="L121" s="17" t="inlineStr">
        <x:is>
          <x:t xml:space="preserve">1,1,1,4</x:t>
        </x:is>
      </x:c>
      <x:c r="M121" s="17" t="inlineStr">
        <x:is>
          <x:t xml:space="preserve"/>
        </x:is>
      </x:c>
      <x:c r="N121" s="17" t="n">
        <x:v>4</x:v>
      </x:c>
      <x:c r="O121" s="17" t="n">
        <x:v>4</x:v>
      </x:c>
      <x:c r="P121" s="17" t="inlineStr">
        <x:is>
          <x:t xml:space="preserve">[4]</x:t>
        </x:is>
      </x:c>
      <x:c r="Q121" s="17" t="inlineStr">
        <x:is>
          <x:t xml:space="preserve">|p4|</x:t>
        </x:is>
      </x:c>
      <x:c r="R121" s="17" t="inlineStr">
        <x:is>
          <x:t xml:space="preserve">seg.1.1.1.4</x:t>
        </x:is>
      </x:c>
      <x:c r="S121" s="17" t="inlineStr">
        <x:is>
          <x:t xml:space="preserve">de+ru+en</x:t>
        </x:is>
      </x:c>
      <x:c r="T121" s="17" t="inlineStr">
        <x:is>
          <x:t xml:space="preserve">principle_support</x:t>
        </x:is>
      </x:c>
      <x:c r="U121" s="17" t="inlineStr">
        <x:is>
          <x:t xml:space="preserve"/>
        </x:is>
      </x:c>
    </x:row>
    <x:row r="122" ht="30" customHeight="1">
      <x:c r="A122" s="17" t="inlineStr">
        <x:is>
          <x:t xml:space="preserve">m111</x:t>
        </x:is>
      </x:c>
      <x:c r="B122" s="17" t="inlineStr">
        <x:is>
          <x:t xml:space="preserve">principle_edge</x:t>
        </x:is>
      </x:c>
      <x:c r="C122" s="17" t="inlineStr">
        <x:is>
          <x:t xml:space="preserve">pr.blessing_is_reciprocal</x:t>
        </x:is>
      </x:c>
      <x:c r="D122" s="17" t="inlineStr">
        <x:is>
          <x:t xml:space="preserve">благословение взаимно</x:t>
        </x:is>
      </x:c>
      <x:c r="E122" s="17" t="inlineStr">
        <x:is>
          <x:t xml:space="preserve">principle</x:t>
        </x:is>
      </x:c>
      <x:c r="F122" s="17" t="inlineStr">
        <x:is>
          <x:t xml:space="preserve">supported_by</x:t>
        </x:is>
      </x:c>
      <x:c r="G122" s="17" t="inlineStr">
        <x:is>
          <x:t xml:space="preserve">поддерживается</x:t>
        </x:is>
      </x:c>
      <x:c r="H122" s="17" t="inlineStr">
        <x:is>
          <x:t xml:space="preserve">ev.p4.bless_sun_for_overflow</x:t>
        </x:is>
      </x:c>
      <x:c r="I122" s="17" t="inlineStr">
        <x:is>
          <x:t xml:space="preserve">благословение солнца за избыток</x:t>
        </x:is>
      </x:c>
      <x:c r="J122" s="17" t="inlineStr">
        <x:is>
          <x:t xml:space="preserve">event</x:t>
        </x:is>
      </x:c>
      <x:c r="K122" s="17" t="inlineStr">
        <x:is>
          <x:t xml:space="preserve">distilled_principle</x:t>
        </x:is>
      </x:c>
      <x:c r="L122" s="17" t="inlineStr">
        <x:is>
          <x:t xml:space="preserve">1,1,1,4</x:t>
        </x:is>
      </x:c>
      <x:c r="M122" s="17" t="inlineStr">
        <x:is>
          <x:t xml:space="preserve"/>
        </x:is>
      </x:c>
      <x:c r="N122" s="17" t="n">
        <x:v>4</x:v>
      </x:c>
      <x:c r="O122" s="17" t="n">
        <x:v>4</x:v>
      </x:c>
      <x:c r="P122" s="17" t="inlineStr">
        <x:is>
          <x:t xml:space="preserve">[4]</x:t>
        </x:is>
      </x:c>
      <x:c r="Q122" s="17" t="inlineStr">
        <x:is>
          <x:t xml:space="preserve">|p4|</x:t>
        </x:is>
      </x:c>
      <x:c r="R122" s="17" t="inlineStr">
        <x:is>
          <x:t xml:space="preserve">seg.1.1.1.4</x:t>
        </x:is>
      </x:c>
      <x:c r="S122" s="17" t="inlineStr">
        <x:is>
          <x:t xml:space="preserve">de+ru+en</x:t>
        </x:is>
      </x:c>
      <x:c r="T122" s="17" t="inlineStr">
        <x:is>
          <x:t xml:space="preserve">principle_support</x:t>
        </x:is>
      </x:c>
      <x:c r="U122" s="17" t="inlineStr">
        <x:is>
          <x:t xml:space="preserve"/>
        </x:is>
      </x:c>
    </x:row>
    <x:row r="123" ht="30" customHeight="1">
      <x:c r="A123" s="17" t="inlineStr">
        <x:is>
          <x:t xml:space="preserve">m112</x:t>
        </x:is>
      </x:c>
      <x:c r="B123" s="17" t="inlineStr">
        <x:is>
          <x:t xml:space="preserve">principle_edge</x:t>
        </x:is>
      </x:c>
      <x:c r="C123" s="17" t="inlineStr">
        <x:is>
          <x:t xml:space="preserve">pr.wisdom_can_overfill</x:t>
        </x:is>
      </x:c>
      <x:c r="D123" s="17" t="inlineStr">
        <x:is>
          <x:t xml:space="preserve">мудрость может стать избытком</x:t>
        </x:is>
      </x:c>
      <x:c r="E123" s="17" t="inlineStr">
        <x:is>
          <x:t xml:space="preserve">principle</x:t>
        </x:is>
      </x:c>
      <x:c r="F123" s="17" t="inlineStr">
        <x:is>
          <x:t xml:space="preserve">supported_by</x:t>
        </x:is>
      </x:c>
      <x:c r="G123" s="17" t="inlineStr">
        <x:is>
          <x:t xml:space="preserve">поддерживается</x:t>
        </x:is>
      </x:c>
      <x:c r="H123" s="17" t="inlineStr">
        <x:is>
          <x:t xml:space="preserve">st.p5.overfull_wisdom</x:t>
        </x:is>
      </x:c>
      <x:c r="I123" s="17" t="inlineStr">
        <x:is>
          <x:t xml:space="preserve">пресыщение мудростью</x:t>
        </x:is>
      </x:c>
      <x:c r="J123" s="17" t="inlineStr">
        <x:is>
          <x:t xml:space="preserve">state</x:t>
        </x:is>
      </x:c>
      <x:c r="K123" s="17" t="inlineStr">
        <x:is>
          <x:t xml:space="preserve">distilled_principle</x:t>
        </x:is>
      </x:c>
      <x:c r="L123" s="17" t="inlineStr">
        <x:is>
          <x:t xml:space="preserve">1,1,1,5</x:t>
        </x:is>
      </x:c>
      <x:c r="M123" s="17" t="inlineStr">
        <x:is>
          <x:t xml:space="preserve"/>
        </x:is>
      </x:c>
      <x:c r="N123" s="17" t="n">
        <x:v>5</x:v>
      </x:c>
      <x:c r="O123" s="17" t="n">
        <x:v>5</x:v>
      </x:c>
      <x:c r="P123" s="17" t="inlineStr">
        <x:is>
          <x:t xml:space="preserve">[5]</x:t>
        </x:is>
      </x:c>
      <x:c r="Q123" s="17" t="inlineStr">
        <x:is>
          <x:t xml:space="preserve">|p5|</x:t>
        </x:is>
      </x:c>
      <x:c r="R123" s="17" t="inlineStr">
        <x:is>
          <x:t xml:space="preserve">seg.1.1.1.5</x:t>
        </x:is>
      </x:c>
      <x:c r="S123" s="17" t="inlineStr">
        <x:is>
          <x:t xml:space="preserve">de+ru+en</x:t>
        </x:is>
      </x:c>
      <x:c r="T123" s="17" t="inlineStr">
        <x:is>
          <x:t xml:space="preserve">principle_support</x:t>
        </x:is>
      </x:c>
      <x:c r="U123" s="17" t="inlineStr">
        <x:is>
          <x:t xml:space="preserve"/>
        </x:is>
      </x:c>
    </x:row>
    <x:row r="124" ht="30" customHeight="1">
      <x:c r="A124" s="17" t="inlineStr">
        <x:is>
          <x:t xml:space="preserve">m113</x:t>
        </x:is>
      </x:c>
      <x:c r="B124" s="17" t="inlineStr">
        <x:is>
          <x:t xml:space="preserve">principle_edge</x:t>
        </x:is>
      </x:c>
      <x:c r="C124" s="17" t="inlineStr">
        <x:is>
          <x:t xml:space="preserve">pr.excess_seeks_recipients</x:t>
        </x:is>
      </x:c>
      <x:c r="D124" s="17" t="inlineStr">
        <x:is>
          <x:t xml:space="preserve">избыток ищет адресатов</x:t>
        </x:is>
      </x:c>
      <x:c r="E124" s="17" t="inlineStr">
        <x:is>
          <x:t xml:space="preserve">principle</x:t>
        </x:is>
      </x:c>
      <x:c r="F124" s="17" t="inlineStr">
        <x:is>
          <x:t xml:space="preserve">supported_by</x:t>
        </x:is>
      </x:c>
      <x:c r="G124" s="17" t="inlineStr">
        <x:is>
          <x:t xml:space="preserve">поддерживается</x:t>
        </x:is>
      </x:c>
      <x:c r="H124" s="17" t="inlineStr">
        <x:is>
          <x:t xml:space="preserve">ev.p5_6.need_hands_for_giving</x:t>
        </x:is>
      </x:c>
      <x:c r="I124" s="17" t="inlineStr">
        <x:is>
          <x:t xml:space="preserve">нужда в простёртых руках ради дара</x:t>
        </x:is>
      </x:c>
      <x:c r="J124" s="17" t="inlineStr">
        <x:is>
          <x:t xml:space="preserve">event</x:t>
        </x:is>
      </x:c>
      <x:c r="K124" s="17" t="inlineStr">
        <x:is>
          <x:t xml:space="preserve">distilled_principle</x:t>
        </x:is>
      </x:c>
      <x:c r="L124" s="17" t="inlineStr">
        <x:is>
          <x:t xml:space="preserve">1,1,1,5</x:t>
        </x:is>
      </x:c>
      <x:c r="M124" s="17" t="inlineStr">
        <x:is>
          <x:t xml:space="preserve">1,1,1,6</x:t>
        </x:is>
      </x:c>
      <x:c r="N124" s="17" t="n">
        <x:v>5</x:v>
      </x:c>
      <x:c r="O124" s="17" t="n">
        <x:v>6</x:v>
      </x:c>
      <x:c r="P124" s="17" t="inlineStr">
        <x:is>
          <x:t xml:space="preserve">[5]-[6]</x:t>
        </x:is>
      </x:c>
      <x:c r="Q124" s="17" t="inlineStr">
        <x:is>
          <x:t xml:space="preserve">|p5|p6|</x:t>
        </x:is>
      </x:c>
      <x:c r="R124" s="17" t="inlineStr">
        <x:is>
          <x:t xml:space="preserve">seg.1.1.1.5|seg.1.1.1.6</x:t>
        </x:is>
      </x:c>
      <x:c r="S124" s="17" t="inlineStr">
        <x:is>
          <x:t xml:space="preserve">de+ru+en</x:t>
        </x:is>
      </x:c>
      <x:c r="T124" s="17" t="inlineStr">
        <x:is>
          <x:t xml:space="preserve">principle_support</x:t>
        </x:is>
      </x:c>
      <x:c r="U124" s="17" t="inlineStr">
        <x:is>
          <x:t xml:space="preserve"/>
        </x:is>
      </x:c>
    </x:row>
    <x:row r="125" ht="30" customHeight="1">
      <x:c r="A125" s="17" t="inlineStr">
        <x:is>
          <x:t xml:space="preserve">m114</x:t>
        </x:is>
      </x:c>
      <x:c r="B125" s="17" t="inlineStr">
        <x:is>
          <x:t xml:space="preserve">principle_edge</x:t>
        </x:is>
      </x:c>
      <x:c r="C125" s="17" t="inlineStr">
        <x:is>
          <x:t xml:space="preserve">pr.gift_has_dual_mode</x:t>
        </x:is>
      </x:c>
      <x:c r="D125" s="17" t="inlineStr">
        <x:is>
          <x:t xml:space="preserve">дар идет в двух режимах</x:t>
        </x:is>
      </x:c>
      <x:c r="E125" s="17" t="inlineStr">
        <x:is>
          <x:t xml:space="preserve">principle</x:t>
        </x:is>
      </x:c>
      <x:c r="F125" s="17" t="inlineStr">
        <x:is>
          <x:t xml:space="preserve">supported_by</x:t>
        </x:is>
      </x:c>
      <x:c r="G125" s="17" t="inlineStr">
        <x:is>
          <x:t xml:space="preserve">поддерживается</x:t>
        </x:is>
      </x:c>
      <x:c r="H125" s="17" t="inlineStr">
        <x:is>
          <x:t xml:space="preserve">ev.p6.bestow_and_distribute</x:t>
        </x:is>
      </x:c>
      <x:c r="I125" s="17" t="inlineStr">
        <x:is>
          <x:t xml:space="preserve">одаривать и раздавать</x:t>
        </x:is>
      </x:c>
      <x:c r="J125" s="17" t="inlineStr">
        <x:is>
          <x:t xml:space="preserve">event</x:t>
        </x:is>
      </x:c>
      <x:c r="K125" s="17" t="inlineStr">
        <x:is>
          <x:t xml:space="preserve">distilled_principle</x:t>
        </x:is>
      </x:c>
      <x:c r="L125" s="17" t="inlineStr">
        <x:is>
          <x:t xml:space="preserve">1,1,1,6</x:t>
        </x:is>
      </x:c>
      <x:c r="M125" s="17" t="inlineStr">
        <x:is>
          <x:t xml:space="preserve"/>
        </x:is>
      </x:c>
      <x:c r="N125" s="17" t="n">
        <x:v>6</x:v>
      </x:c>
      <x:c r="O125" s="17" t="n">
        <x:v>6</x:v>
      </x:c>
      <x:c r="P125" s="17" t="inlineStr">
        <x:is>
          <x:t xml:space="preserve">[6]</x:t>
        </x:is>
      </x:c>
      <x:c r="Q125" s="17" t="inlineStr">
        <x:is>
          <x:t xml:space="preserve">|p6|</x:t>
        </x:is>
      </x:c>
      <x:c r="R125" s="17" t="inlineStr">
        <x:is>
          <x:t xml:space="preserve">seg.1.1.1.6</x:t>
        </x:is>
      </x:c>
      <x:c r="S125" s="17" t="inlineStr">
        <x:is>
          <x:t xml:space="preserve">de+ru+en</x:t>
        </x:is>
      </x:c>
      <x:c r="T125" s="17" t="inlineStr">
        <x:is>
          <x:t xml:space="preserve">principle_support</x:t>
        </x:is>
      </x:c>
      <x:c r="U125" s="17" t="inlineStr">
        <x:is>
          <x:t xml:space="preserve"/>
        </x:is>
      </x:c>
    </x:row>
    <x:row r="126" ht="30" customHeight="1">
      <x:c r="A126" s="17" t="inlineStr">
        <x:is>
          <x:t xml:space="preserve">m115</x:t>
        </x:is>
      </x:c>
      <x:c r="B126" s="17" t="inlineStr">
        <x:is>
          <x:t xml:space="preserve">principle_edge</x:t>
        </x:is>
      </x:c>
      <x:c r="C126" s="17" t="inlineStr">
        <x:is>
          <x:t xml:space="preserve">pr.descent_is_required_by_gift</x:t>
        </x:is>
      </x:c>
      <x:c r="D126" s="17" t="inlineStr">
        <x:is>
          <x:t xml:space="preserve">дар требует нисхождения</x:t>
        </x:is>
      </x:c>
      <x:c r="E126" s="17" t="inlineStr">
        <x:is>
          <x:t xml:space="preserve">principle</x:t>
        </x:is>
      </x:c>
      <x:c r="F126" s="17" t="inlineStr">
        <x:is>
          <x:t xml:space="preserve">supported_by</x:t>
        </x:is>
      </x:c>
      <x:c r="G126" s="17" t="inlineStr">
        <x:is>
          <x:t xml:space="preserve">поддерживается</x:t>
        </x:is>
      </x:c>
      <x:c r="H126" s="17" t="inlineStr">
        <x:is>
          <x:t xml:space="preserve">ev.p7.descend_into_depth</x:t>
        </x:is>
      </x:c>
      <x:c r="I126" s="17" t="inlineStr">
        <x:is>
          <x:t xml:space="preserve">спуск в глубину</x:t>
        </x:is>
      </x:c>
      <x:c r="J126" s="17" t="inlineStr">
        <x:is>
          <x:t xml:space="preserve">event</x:t>
        </x:is>
      </x:c>
      <x:c r="K126" s="17" t="inlineStr">
        <x:is>
          <x:t xml:space="preserve">distilled_principle</x:t>
        </x:is>
      </x:c>
      <x:c r="L126" s="17" t="inlineStr">
        <x:is>
          <x:t xml:space="preserve">1,1,1,6</x:t>
        </x:is>
      </x:c>
      <x:c r="M126" s="17" t="inlineStr">
        <x:is>
          <x:t xml:space="preserve">1,1,1,7</x:t>
        </x:is>
      </x:c>
      <x:c r="N126" s="17" t="n">
        <x:v>6</x:v>
      </x:c>
      <x:c r="O126" s="17" t="n">
        <x:v>7</x:v>
      </x:c>
      <x:c r="P126" s="17" t="inlineStr">
        <x:is>
          <x:t xml:space="preserve">[6]-[7]</x:t>
        </x:is>
      </x:c>
      <x:c r="Q126" s="17" t="inlineStr">
        <x:is>
          <x:t xml:space="preserve">|p6|p7|</x:t>
        </x:is>
      </x:c>
      <x:c r="R126" s="17" t="inlineStr">
        <x:is>
          <x:t xml:space="preserve">seg.1.1.1.6|seg.1.1.1.7</x:t>
        </x:is>
      </x:c>
      <x:c r="S126" s="17" t="inlineStr">
        <x:is>
          <x:t xml:space="preserve">de+ru+en</x:t>
        </x:is>
      </x:c>
      <x:c r="T126" s="17" t="inlineStr">
        <x:is>
          <x:t xml:space="preserve">principle_support</x:t>
        </x:is>
      </x:c>
      <x:c r="U126" s="17" t="inlineStr">
        <x:is>
          <x:t xml:space="preserve">дар и катабасис сцеплены</x:t>
        </x:is>
      </x:c>
    </x:row>
    <x:row r="127" ht="30" customHeight="1">
      <x:c r="A127" s="17" t="inlineStr">
        <x:is>
          <x:t xml:space="preserve">m116</x:t>
        </x:is>
      </x:c>
      <x:c r="B127" s="17" t="inlineStr">
        <x:is>
          <x:t xml:space="preserve">principle_edge</x:t>
        </x:is>
      </x:c>
      <x:c r="C127" s="17" t="inlineStr">
        <x:is>
          <x:t xml:space="preserve">pr.go_under_is_human_name</x:t>
        </x:is>
      </x:c>
      <x:c r="D127" s="17" t="inlineStr">
        <x:is>
          <x:t xml:space="preserve">закат есть человеческое имя нисхождения</x:t>
        </x:is>
      </x:c>
      <x:c r="E127" s="17" t="inlineStr">
        <x:is>
          <x:t xml:space="preserve">principle</x:t>
        </x:is>
      </x:c>
      <x:c r="F127" s="17" t="inlineStr">
        <x:is>
          <x:t xml:space="preserve">supported_by</x:t>
        </x:is>
      </x:c>
      <x:c r="G127" s="17" t="inlineStr">
        <x:is>
          <x:t xml:space="preserve">поддерживается</x:t>
        </x:is>
      </x:c>
      <x:c r="H127" s="17" t="inlineStr">
        <x:is>
          <x:t xml:space="preserve">ev.p7_8.descent_named_as_go_under</x:t>
        </x:is>
      </x:c>
      <x:c r="I127" s="17" t="inlineStr">
        <x:is>
          <x:t xml:space="preserve">нисхождение, названное закатом</x:t>
        </x:is>
      </x:c>
      <x:c r="J127" s="17" t="inlineStr">
        <x:is>
          <x:t xml:space="preserve">event</x:t>
        </x:is>
      </x:c>
      <x:c r="K127" s="17" t="inlineStr">
        <x:is>
          <x:t xml:space="preserve">distilled_principle</x:t>
        </x:is>
      </x:c>
      <x:c r="L127" s="17" t="inlineStr">
        <x:is>
          <x:t xml:space="preserve">1,1,1,7</x:t>
        </x:is>
      </x:c>
      <x:c r="M127" s="17" t="inlineStr">
        <x:is>
          <x:t xml:space="preserve">1,1,1,8</x:t>
        </x:is>
      </x:c>
      <x:c r="N127" s="17" t="n">
        <x:v>7</x:v>
      </x:c>
      <x:c r="O127" s="17" t="n">
        <x:v>8</x:v>
      </x:c>
      <x:c r="P127" s="17" t="inlineStr">
        <x:is>
          <x:t xml:space="preserve">[7]-[8]</x:t>
        </x:is>
      </x:c>
      <x:c r="Q127" s="17" t="inlineStr">
        <x:is>
          <x:t xml:space="preserve">|p7|p8|</x:t>
        </x:is>
      </x:c>
      <x:c r="R127" s="17" t="inlineStr">
        <x:is>
          <x:t xml:space="preserve">seg.1.1.1.7|seg.1.1.1.8</x:t>
        </x:is>
      </x:c>
      <x:c r="S127" s="17" t="inlineStr">
        <x:is>
          <x:t xml:space="preserve">de+ru+en</x:t>
        </x:is>
      </x:c>
      <x:c r="T127" s="17" t="inlineStr">
        <x:is>
          <x:t xml:space="preserve">principle_support</x:t>
        </x:is>
      </x:c>
      <x:c r="U127" s="17" t="inlineStr">
        <x:is>
          <x:t xml:space="preserve"/>
        </x:is>
      </x:c>
    </x:row>
    <x:row r="128" ht="30" customHeight="1">
      <x:c r="A128" s="17" t="inlineStr">
        <x:is>
          <x:t xml:space="preserve">m117</x:t>
        </x:is>
      </x:c>
      <x:c r="B128" s="17" t="inlineStr">
        <x:is>
          <x:t xml:space="preserve">principle_edge</x:t>
        </x:is>
      </x:c>
      <x:c r="C128" s="17" t="inlineStr">
        <x:is>
          <x:t xml:space="preserve">pr.tranquil_vision_without_envy</x:t>
        </x:is>
      </x:c>
      <x:c r="D128" s="17" t="inlineStr">
        <x:is>
          <x:t xml:space="preserve">спокойное зрение без зависти</x:t>
        </x:is>
      </x:c>
      <x:c r="E128" s="17" t="inlineStr">
        <x:is>
          <x:t xml:space="preserve">principle</x:t>
        </x:is>
      </x:c>
      <x:c r="F128" s="17" t="inlineStr">
        <x:is>
          <x:t xml:space="preserve">supported_by</x:t>
        </x:is>
      </x:c>
      <x:c r="G128" s="17" t="inlineStr">
        <x:is>
          <x:t xml:space="preserve">поддерживается</x:t>
        </x:is>
      </x:c>
      <x:c r="H128" s="17" t="inlineStr">
        <x:is>
          <x:t xml:space="preserve">st.p9.tranquil_eye_without_envy</x:t>
        </x:is>
      </x:c>
      <x:c r="I128" s="17" t="inlineStr">
        <x:is>
          <x:t xml:space="preserve">спокойное око без зависти</x:t>
        </x:is>
      </x:c>
      <x:c r="J128" s="17" t="inlineStr">
        <x:is>
          <x:t xml:space="preserve">state</x:t>
        </x:is>
      </x:c>
      <x:c r="K128" s="17" t="inlineStr">
        <x:is>
          <x:t xml:space="preserve">distilled_principle</x:t>
        </x:is>
      </x:c>
      <x:c r="L128" s="17" t="inlineStr">
        <x:is>
          <x:t xml:space="preserve">1,1,1,9</x:t>
        </x:is>
      </x:c>
      <x:c r="M128" s="17" t="inlineStr">
        <x:is>
          <x:t xml:space="preserve"/>
        </x:is>
      </x:c>
      <x:c r="N128" s="17" t="n">
        <x:v>9</x:v>
      </x:c>
      <x:c r="O128" s="17" t="n">
        <x:v>9</x:v>
      </x:c>
      <x:c r="P128" s="17" t="inlineStr">
        <x:is>
          <x:t xml:space="preserve">[9]</x:t>
        </x:is>
      </x:c>
      <x:c r="Q128" s="17" t="inlineStr">
        <x:is>
          <x:t xml:space="preserve">|p9|</x:t>
        </x:is>
      </x:c>
      <x:c r="R128" s="17" t="inlineStr">
        <x:is>
          <x:t xml:space="preserve">seg.1.1.1.9</x:t>
        </x:is>
      </x:c>
      <x:c r="S128" s="17" t="inlineStr">
        <x:is>
          <x:t xml:space="preserve">de+ru+en</x:t>
        </x:is>
      </x:c>
      <x:c r="T128" s="17" t="inlineStr">
        <x:is>
          <x:t xml:space="preserve">principle_support</x:t>
        </x:is>
      </x:c>
      <x:c r="U128" s="17" t="inlineStr">
        <x:is>
          <x:t xml:space="preserve"/>
        </x:is>
      </x:c>
    </x:row>
    <x:row r="129" ht="30" customHeight="1">
      <x:c r="A129" s="17" t="inlineStr">
        <x:is>
          <x:t xml:space="preserve">m118</x:t>
        </x:is>
      </x:c>
      <x:c r="B129" s="17" t="inlineStr">
        <x:is>
          <x:t xml:space="preserve">principle_edge</x:t>
        </x:is>
      </x:c>
      <x:c r="C129" s="17" t="inlineStr">
        <x:is>
          <x:t xml:space="preserve">pr.reflected_light_can_be_carried</x:t>
        </x:is>
      </x:c>
      <x:c r="D129" s="17" t="inlineStr">
        <x:is>
          <x:t xml:space="preserve">отражённый свет может быть носим</x:t>
        </x:is>
      </x:c>
      <x:c r="E129" s="17" t="inlineStr">
        <x:is>
          <x:t xml:space="preserve">principle</x:t>
        </x:is>
      </x:c>
      <x:c r="F129" s="17" t="inlineStr">
        <x:is>
          <x:t xml:space="preserve">supported_by</x:t>
        </x:is>
      </x:c>
      <x:c r="G129" s="17" t="inlineStr">
        <x:is>
          <x:t xml:space="preserve">поддерживается</x:t>
        </x:is>
      </x:c>
      <x:c r="H129" s="17" t="inlineStr">
        <x:is>
          <x:t xml:space="preserve">ev.p10.reflection_of_bliss_is_carried</x:t>
        </x:is>
      </x:c>
      <x:c r="I129" s="17" t="inlineStr">
        <x:is>
          <x:t xml:space="preserve">отблеск отрады несётся повсюду</x:t>
        </x:is>
      </x:c>
      <x:c r="J129" s="17" t="inlineStr">
        <x:is>
          <x:t xml:space="preserve">event</x:t>
        </x:is>
      </x:c>
      <x:c r="K129" s="17" t="inlineStr">
        <x:is>
          <x:t xml:space="preserve">distilled_principle</x:t>
        </x:is>
      </x:c>
      <x:c r="L129" s="17" t="inlineStr">
        <x:is>
          <x:t xml:space="preserve">1,1,1,10</x:t>
        </x:is>
      </x:c>
      <x:c r="M129" s="17" t="inlineStr">
        <x:is>
          <x:t xml:space="preserve"/>
        </x:is>
      </x:c>
      <x:c r="N129" s="17" t="n">
        <x:v>10</x:v>
      </x:c>
      <x:c r="O129" s="17" t="n">
        <x:v>10</x:v>
      </x:c>
      <x:c r="P129" s="17" t="inlineStr">
        <x:is>
          <x:t xml:space="preserve">[10]</x:t>
        </x:is>
      </x:c>
      <x:c r="Q129" s="17" t="inlineStr">
        <x:is>
          <x:t xml:space="preserve">|p10|</x:t>
        </x:is>
      </x:c>
      <x:c r="R129" s="17" t="inlineStr">
        <x:is>
          <x:t xml:space="preserve">seg.1.1.1.10</x:t>
        </x:is>
      </x:c>
      <x:c r="S129" s="17" t="inlineStr">
        <x:is>
          <x:t xml:space="preserve">de+ru+en</x:t>
        </x:is>
      </x:c>
      <x:c r="T129" s="17" t="inlineStr">
        <x:is>
          <x:t xml:space="preserve">principle_support</x:t>
        </x:is>
      </x:c>
      <x:c r="U129" s="17" t="inlineStr">
        <x:is>
          <x:t xml:space="preserve"/>
        </x:is>
      </x:c>
    </x:row>
    <x:row r="130" ht="30" customHeight="1">
      <x:c r="A130" s="17" t="inlineStr">
        <x:is>
          <x:t xml:space="preserve">m119</x:t>
        </x:is>
      </x:c>
      <x:c r="B130" s="17" t="inlineStr">
        <x:is>
          <x:t xml:space="preserve">principle_edge</x:t>
        </x:is>
      </x:c>
      <x:c r="C130" s="17" t="inlineStr">
        <x:is>
          <x:t xml:space="preserve">pr.return_as_action</x:t>
        </x:is>
      </x:c>
      <x:c r="D130" s="17" t="inlineStr">
        <x:is>
          <x:t xml:space="preserve">возвращение как действие</x:t>
        </x:is>
      </x:c>
      <x:c r="E130" s="17" t="inlineStr">
        <x:is>
          <x:t xml:space="preserve">principle</x:t>
        </x:is>
      </x:c>
      <x:c r="F130" s="17" t="inlineStr">
        <x:is>
          <x:t xml:space="preserve">supported_by</x:t>
        </x:is>
      </x:c>
      <x:c r="G130" s="17" t="inlineStr">
        <x:is>
          <x:t xml:space="preserve">поддерживается</x:t>
        </x:is>
      </x:c>
      <x:c r="H130" s="17" t="inlineStr">
        <x:is>
          <x:t xml:space="preserve">st.p11.zarathustra_wants_to_become_human_again</x:t>
        </x:is>
      </x:c>
      <x:c r="I130" s="17" t="inlineStr">
        <x:is>
          <x:t xml:space="preserve">Заратустра хочет снова стать человеком</x:t>
        </x:is>
      </x:c>
      <x:c r="J130" s="17" t="inlineStr">
        <x:is>
          <x:t xml:space="preserve">state</x:t>
        </x:is>
      </x:c>
      <x:c r="K130" s="17" t="inlineStr">
        <x:is>
          <x:t xml:space="preserve">distilled_principle</x:t>
        </x:is>
      </x:c>
      <x:c r="L130" s="17" t="inlineStr">
        <x:is>
          <x:t xml:space="preserve">1,1,1,11</x:t>
        </x:is>
      </x:c>
      <x:c r="M130" s="17" t="inlineStr">
        <x:is>
          <x:t xml:space="preserve"/>
        </x:is>
      </x:c>
      <x:c r="N130" s="17" t="n">
        <x:v>11</x:v>
      </x:c>
      <x:c r="O130" s="17" t="n">
        <x:v>11</x:v>
      </x:c>
      <x:c r="P130" s="17" t="inlineStr">
        <x:is>
          <x:t xml:space="preserve">[11]</x:t>
        </x:is>
      </x:c>
      <x:c r="Q130" s="17" t="inlineStr">
        <x:is>
          <x:t xml:space="preserve">|p11|</x:t>
        </x:is>
      </x:c>
      <x:c r="R130" s="17" t="inlineStr">
        <x:is>
          <x:t xml:space="preserve">seg.1.1.1.11</x:t>
        </x:is>
      </x:c>
      <x:c r="S130" s="17" t="inlineStr">
        <x:is>
          <x:t xml:space="preserve">de+ru+en</x:t>
        </x:is>
      </x:c>
      <x:c r="T130" s="17" t="inlineStr">
        <x:is>
          <x:t xml:space="preserve">principle_support</x:t>
        </x:is>
      </x:c>
      <x:c r="U130" s="17" t="inlineStr">
        <x:is>
          <x:t xml:space="preserve">возвращение удерживается как акт</x:t>
        </x:is>
      </x:c>
    </x:row>
    <x:row r="131" ht="30" customHeight="1">
      <x:c r="A131" s="17" t="inlineStr">
        <x:is>
          <x:t xml:space="preserve">m120</x:t>
        </x:is>
      </x:c>
      <x:c r="B131" s="17" t="inlineStr">
        <x:is>
          <x:t xml:space="preserve">principle_edge</x:t>
        </x:is>
      </x:c>
      <x:c r="C131" s="17" t="inlineStr">
        <x:is>
          <x:t xml:space="preserve">pr.beginning_through_going_under</x:t>
        </x:is>
      </x:c>
      <x:c r="D131" s="17" t="inlineStr">
        <x:is>
          <x:t xml:space="preserve">начало через закат</x:t>
        </x:is>
      </x:c>
      <x:c r="E131" s="17" t="inlineStr">
        <x:is>
          <x:t xml:space="preserve">principle</x:t>
        </x:is>
      </x:c>
      <x:c r="F131" s="17" t="inlineStr">
        <x:is>
          <x:t xml:space="preserve">supported_by</x:t>
        </x:is>
      </x:c>
      <x:c r="G131" s="17" t="inlineStr">
        <x:is>
          <x:t xml:space="preserve">поддерживается</x:t>
        </x:is>
      </x:c>
      <x:c r="H131" s="17" t="inlineStr">
        <x:is>
          <x:t xml:space="preserve">ev.p12.beginning_of_zarathustra_going_under</x:t>
        </x:is>
      </x:c>
      <x:c r="I131" s="17" t="inlineStr">
        <x:is>
          <x:t xml:space="preserve">начало заката Заратустры</x:t>
        </x:is>
      </x:c>
      <x:c r="J131" s="17" t="inlineStr">
        <x:is>
          <x:t xml:space="preserve">event</x:t>
        </x:is>
      </x:c>
      <x:c r="K131" s="17" t="inlineStr">
        <x:is>
          <x:t xml:space="preserve">distilled_principle</x:t>
        </x:is>
      </x:c>
      <x:c r="L131" s="17" t="inlineStr">
        <x:is>
          <x:t xml:space="preserve">1,1,1,12</x:t>
        </x:is>
      </x:c>
      <x:c r="M131" s="17" t="inlineStr">
        <x:is>
          <x:t xml:space="preserve"/>
        </x:is>
      </x:c>
      <x:c r="N131" s="17" t="n">
        <x:v>12</x:v>
      </x:c>
      <x:c r="O131" s="17" t="n">
        <x:v>12</x:v>
      </x:c>
      <x:c r="P131" s="17" t="inlineStr">
        <x:is>
          <x:t xml:space="preserve">[12]</x:t>
        </x:is>
      </x:c>
      <x:c r="Q131" s="17" t="inlineStr">
        <x:is>
          <x:t xml:space="preserve">|p12|</x:t>
        </x:is>
      </x:c>
      <x:c r="R131" s="17" t="inlineStr">
        <x:is>
          <x:t xml:space="preserve">seg.1.1.1.12</x:t>
        </x:is>
      </x:c>
      <x:c r="S131" s="17" t="inlineStr">
        <x:is>
          <x:t xml:space="preserve">de+ru+en</x:t>
        </x:is>
      </x:c>
      <x:c r="T131" s="17" t="inlineStr">
        <x:is>
          <x:t xml:space="preserve">principle_support</x:t>
        </x:is>
      </x:c>
      <x:c r="U131" s="17" t="inlineStr">
        <x:is>
          <x:t xml:space="preserve"/>
        </x:is>
      </x:c>
    </x:row>
    <x:row r="132" ht="30" customHeight="1">
      <x:c r="A132" s="17" t="inlineStr">
        <x:is>
          <x:t xml:space="preserve">m121</x:t>
        </x:is>
      </x:c>
      <x:c r="B132" s="17" t="inlineStr">
        <x:is>
          <x:t xml:space="preserve">principle_edge</x:t>
        </x:is>
      </x:c>
      <x:c r="C132" s="17" t="inlineStr">
        <x:is>
          <x:t xml:space="preserve">pr.solitude_as_ripening</x:t>
        </x:is>
      </x:c>
      <x:c r="D132" s="17" t="inlineStr">
        <x:is>
          <x:t xml:space="preserve">уединение как созревание</x:t>
        </x:is>
      </x:c>
      <x:c r="E132" s="17" t="inlineStr">
        <x:is>
          <x:t xml:space="preserve">principle</x:t>
        </x:is>
      </x:c>
      <x:c r="F132" s="17" t="inlineStr">
        <x:is>
          <x:t xml:space="preserve">leads_to</x:t>
        </x:is>
      </x:c>
      <x:c r="G132" s="17" t="inlineStr">
        <x:is>
          <x:t xml:space="preserve">ведёт к</x:t>
        </x:is>
      </x:c>
      <x:c r="H132" s="17" t="inlineStr">
        <x:is>
          <x:t xml:space="preserve">pr.wisdom_can_overfill</x:t>
        </x:is>
      </x:c>
      <x:c r="I132" s="17" t="inlineStr">
        <x:is>
          <x:t xml:space="preserve">мудрость может стать избытком</x:t>
        </x:is>
      </x:c>
      <x:c r="J132" s="17" t="inlineStr">
        <x:is>
          <x:t xml:space="preserve">principle</x:t>
        </x:is>
      </x:c>
      <x:c r="K132" s="17" t="inlineStr">
        <x:is>
          <x:t xml:space="preserve">distilled_principle</x:t>
        </x:is>
      </x:c>
      <x:c r="L132" s="17" t="inlineStr">
        <x:is>
          <x:t xml:space="preserve">1,1,1,1</x:t>
        </x:is>
      </x:c>
      <x:c r="M132" s="17" t="inlineStr">
        <x:is>
          <x:t xml:space="preserve">1,1,1,5</x:t>
        </x:is>
      </x:c>
      <x:c r="N132" s="17" t="n">
        <x:v>1</x:v>
      </x:c>
      <x:c r="O132" s="17" t="n">
        <x:v>5</x:v>
      </x:c>
      <x:c r="P132" s="17" t="inlineStr">
        <x:is>
          <x:t xml:space="preserve">[1]-[5]</x:t>
        </x:is>
      </x:c>
      <x:c r="Q132" s="17" t="inlineStr">
        <x:is>
          <x:t xml:space="preserve">|p1|p5|</x:t>
        </x:is>
      </x:c>
      <x:c r="R132" s="17" t="inlineStr">
        <x:is>
          <x:t xml:space="preserve">seg.1.1.1.1|seg.1.1.1.5</x:t>
        </x:is>
      </x:c>
      <x:c r="S132" s="17" t="inlineStr">
        <x:is>
          <x:t xml:space="preserve">de+ru+en</x:t>
        </x:is>
      </x:c>
      <x:c r="T132" s="17" t="inlineStr">
        <x:is>
          <x:t xml:space="preserve">reasoning_bridge</x:t>
        </x:is>
      </x:c>
      <x:c r="U132" s="17" t="inlineStr">
        <x:is>
          <x:t xml:space="preserve">созревание выводит к избытку</x:t>
        </x:is>
      </x:c>
    </x:row>
    <x:row r="133" ht="30" customHeight="1">
      <x:c r="A133" s="17" t="inlineStr">
        <x:is>
          <x:t xml:space="preserve">m122</x:t>
        </x:is>
      </x:c>
      <x:c r="B133" s="17" t="inlineStr">
        <x:is>
          <x:t xml:space="preserve">principle_edge</x:t>
        </x:is>
      </x:c>
      <x:c r="C133" s="17" t="inlineStr">
        <x:is>
          <x:t xml:space="preserve">pr.overflow_can_be_received</x:t>
        </x:is>
      </x:c>
      <x:c r="D133" s="17" t="inlineStr">
        <x:is>
          <x:t xml:space="preserve">избыток может быть принят</x:t>
        </x:is>
      </x:c>
      <x:c r="E133" s="17" t="inlineStr">
        <x:is>
          <x:t xml:space="preserve">principle</x:t>
        </x:is>
      </x:c>
      <x:c r="F133" s="17" t="inlineStr">
        <x:is>
          <x:t xml:space="preserve">prefigures</x:t>
        </x:is>
      </x:c>
      <x:c r="G133" s="17" t="inlineStr">
        <x:is>
          <x:t xml:space="preserve">предвосхищает</x:t>
        </x:is>
      </x:c>
      <x:c r="H133" s="17" t="inlineStr">
        <x:is>
          <x:t xml:space="preserve">pr.excess_seeks_recipients</x:t>
        </x:is>
      </x:c>
      <x:c r="I133" s="17" t="inlineStr">
        <x:is>
          <x:t xml:space="preserve">избыток ищет адресатов</x:t>
        </x:is>
      </x:c>
      <x:c r="J133" s="17" t="inlineStr">
        <x:is>
          <x:t xml:space="preserve">principle</x:t>
        </x:is>
      </x:c>
      <x:c r="K133" s="17" t="inlineStr">
        <x:is>
          <x:t xml:space="preserve">distilled_principle</x:t>
        </x:is>
      </x:c>
      <x:c r="L133" s="17" t="inlineStr">
        <x:is>
          <x:t xml:space="preserve">1,1,1,4</x:t>
        </x:is>
      </x:c>
      <x:c r="M133" s="17" t="inlineStr">
        <x:is>
          <x:t xml:space="preserve">1,1,1,6</x:t>
        </x:is>
      </x:c>
      <x:c r="N133" s="17" t="n">
        <x:v>4</x:v>
      </x:c>
      <x:c r="O133" s="17" t="n">
        <x:v>6</x:v>
      </x:c>
      <x:c r="P133" s="17" t="inlineStr">
        <x:is>
          <x:t xml:space="preserve">[4]-[6]</x:t>
        </x:is>
      </x:c>
      <x:c r="Q133" s="17" t="inlineStr">
        <x:is>
          <x:t xml:space="preserve">|p4|p5|p6|</x:t>
        </x:is>
      </x:c>
      <x:c r="R133" s="17" t="inlineStr">
        <x:is>
          <x:t xml:space="preserve">seg.1.1.1.4|seg.1.1.1.5|seg.1.1.1.6</x:t>
        </x:is>
      </x:c>
      <x:c r="S133" s="17" t="inlineStr">
        <x:is>
          <x:t xml:space="preserve">de+ru+en</x:t>
        </x:is>
      </x:c>
      <x:c r="T133" s="17" t="inlineStr">
        <x:is>
          <x:t xml:space="preserve">reasoning_bridge</x:t>
        </x:is>
      </x:c>
      <x:c r="U133" s="17" t="inlineStr">
        <x:is>
          <x:t xml:space="preserve"/>
        </x:is>
      </x:c>
    </x:row>
    <x:row r="134" ht="30" customHeight="1">
      <x:c r="A134" s="17" t="inlineStr">
        <x:is>
          <x:t xml:space="preserve">m123</x:t>
        </x:is>
      </x:c>
      <x:c r="B134" s="17" t="inlineStr">
        <x:is>
          <x:t xml:space="preserve">principle_edge</x:t>
        </x:is>
      </x:c>
      <x:c r="C134" s="17" t="inlineStr">
        <x:is>
          <x:t xml:space="preserve">pr.wisdom_can_overfill</x:t>
        </x:is>
      </x:c>
      <x:c r="D134" s="17" t="inlineStr">
        <x:is>
          <x:t xml:space="preserve">мудрость может стать избытком</x:t>
        </x:is>
      </x:c>
      <x:c r="E134" s="17" t="inlineStr">
        <x:is>
          <x:t xml:space="preserve">principle</x:t>
        </x:is>
      </x:c>
      <x:c r="F134" s="17" t="inlineStr">
        <x:is>
          <x:t xml:space="preserve">leads_to</x:t>
        </x:is>
      </x:c>
      <x:c r="G134" s="17" t="inlineStr">
        <x:is>
          <x:t xml:space="preserve">ведёт к</x:t>
        </x:is>
      </x:c>
      <x:c r="H134" s="17" t="inlineStr">
        <x:is>
          <x:t xml:space="preserve">pr.excess_seeks_recipients</x:t>
        </x:is>
      </x:c>
      <x:c r="I134" s="17" t="inlineStr">
        <x:is>
          <x:t xml:space="preserve">избыток ищет адресатов</x:t>
        </x:is>
      </x:c>
      <x:c r="J134" s="17" t="inlineStr">
        <x:is>
          <x:t xml:space="preserve">principle</x:t>
        </x:is>
      </x:c>
      <x:c r="K134" s="17" t="inlineStr">
        <x:is>
          <x:t xml:space="preserve">distilled_principle</x:t>
        </x:is>
      </x:c>
      <x:c r="L134" s="17" t="inlineStr">
        <x:is>
          <x:t xml:space="preserve">1,1,1,5</x:t>
        </x:is>
      </x:c>
      <x:c r="M134" s="17" t="inlineStr">
        <x:is>
          <x:t xml:space="preserve">1,1,1,6</x:t>
        </x:is>
      </x:c>
      <x:c r="N134" s="17" t="n">
        <x:v>5</x:v>
      </x:c>
      <x:c r="O134" s="17" t="n">
        <x:v>6</x:v>
      </x:c>
      <x:c r="P134" s="17" t="inlineStr">
        <x:is>
          <x:t xml:space="preserve">[5]-[6]</x:t>
        </x:is>
      </x:c>
      <x:c r="Q134" s="17" t="inlineStr">
        <x:is>
          <x:t xml:space="preserve">|p5|p6|</x:t>
        </x:is>
      </x:c>
      <x:c r="R134" s="17" t="inlineStr">
        <x:is>
          <x:t xml:space="preserve">seg.1.1.1.5|seg.1.1.1.6</x:t>
        </x:is>
      </x:c>
      <x:c r="S134" s="17" t="inlineStr">
        <x:is>
          <x:t xml:space="preserve">de+ru+en</x:t>
        </x:is>
      </x:c>
      <x:c r="T134" s="17" t="inlineStr">
        <x:is>
          <x:t xml:space="preserve">reasoning_bridge</x:t>
        </x:is>
      </x:c>
      <x:c r="U134" s="17" t="inlineStr">
        <x:is>
          <x:t xml:space="preserve"/>
        </x:is>
      </x:c>
    </x:row>
    <x:row r="135" ht="30" customHeight="1">
      <x:c r="A135" s="17" t="inlineStr">
        <x:is>
          <x:t xml:space="preserve">m124</x:t>
        </x:is>
      </x:c>
      <x:c r="B135" s="17" t="inlineStr">
        <x:is>
          <x:t xml:space="preserve">principle_edge</x:t>
        </x:is>
      </x:c>
      <x:c r="C135" s="17" t="inlineStr">
        <x:is>
          <x:t xml:space="preserve">pr.excess_seeks_recipients</x:t>
        </x:is>
      </x:c>
      <x:c r="D135" s="17" t="inlineStr">
        <x:is>
          <x:t xml:space="preserve">избыток ищет адресатов</x:t>
        </x:is>
      </x:c>
      <x:c r="E135" s="17" t="inlineStr">
        <x:is>
          <x:t xml:space="preserve">principle</x:t>
        </x:is>
      </x:c>
      <x:c r="F135" s="17" t="inlineStr">
        <x:is>
          <x:t xml:space="preserve">leads_to</x:t>
        </x:is>
      </x:c>
      <x:c r="G135" s="17" t="inlineStr">
        <x:is>
          <x:t xml:space="preserve">ведёт к</x:t>
        </x:is>
      </x:c>
      <x:c r="H135" s="17" t="inlineStr">
        <x:is>
          <x:t xml:space="preserve">pr.descent_is_required_by_gift</x:t>
        </x:is>
      </x:c>
      <x:c r="I135" s="17" t="inlineStr">
        <x:is>
          <x:t xml:space="preserve">дар требует нисхождения</x:t>
        </x:is>
      </x:c>
      <x:c r="J135" s="17" t="inlineStr">
        <x:is>
          <x:t xml:space="preserve">principle</x:t>
        </x:is>
      </x:c>
      <x:c r="K135" s="17" t="inlineStr">
        <x:is>
          <x:t xml:space="preserve">distilled_principle</x:t>
        </x:is>
      </x:c>
      <x:c r="L135" s="17" t="inlineStr">
        <x:is>
          <x:t xml:space="preserve">1,1,1,5</x:t>
        </x:is>
      </x:c>
      <x:c r="M135" s="17" t="inlineStr">
        <x:is>
          <x:t xml:space="preserve">1,1,1,7</x:t>
        </x:is>
      </x:c>
      <x:c r="N135" s="17" t="n">
        <x:v>5</x:v>
      </x:c>
      <x:c r="O135" s="17" t="n">
        <x:v>7</x:v>
      </x:c>
      <x:c r="P135" s="17" t="inlineStr">
        <x:is>
          <x:t xml:space="preserve">[5]-[7]</x:t>
        </x:is>
      </x:c>
      <x:c r="Q135" s="17" t="inlineStr">
        <x:is>
          <x:t xml:space="preserve">|p5|p6|p7|</x:t>
        </x:is>
      </x:c>
      <x:c r="R135" s="17" t="inlineStr">
        <x:is>
          <x:t xml:space="preserve">seg.1.1.1.5|seg.1.1.1.6|seg.1.1.1.7</x:t>
        </x:is>
      </x:c>
      <x:c r="S135" s="17" t="inlineStr">
        <x:is>
          <x:t xml:space="preserve">de+ru+en</x:t>
        </x:is>
      </x:c>
      <x:c r="T135" s="17" t="inlineStr">
        <x:is>
          <x:t xml:space="preserve">reasoning_bridge</x:t>
        </x:is>
      </x:c>
      <x:c r="U135" s="17" t="inlineStr">
        <x:is>
          <x:t xml:space="preserve"/>
        </x:is>
      </x:c>
    </x:row>
    <x:row r="136" ht="30" customHeight="1">
      <x:c r="A136" s="17" t="inlineStr">
        <x:is>
          <x:t xml:space="preserve">m125</x:t>
        </x:is>
      </x:c>
      <x:c r="B136" s="17" t="inlineStr">
        <x:is>
          <x:t xml:space="preserve">principle_edge</x:t>
        </x:is>
      </x:c>
      <x:c r="C136" s="17" t="inlineStr">
        <x:is>
          <x:t xml:space="preserve">pr.descent_is_required_by_gift</x:t>
        </x:is>
      </x:c>
      <x:c r="D136" s="17" t="inlineStr">
        <x:is>
          <x:t xml:space="preserve">дар требует нисхождения</x:t>
        </x:is>
      </x:c>
      <x:c r="E136" s="17" t="inlineStr">
        <x:is>
          <x:t xml:space="preserve">principle</x:t>
        </x:is>
      </x:c>
      <x:c r="F136" s="17" t="inlineStr">
        <x:is>
          <x:t xml:space="preserve">formalizes</x:t>
        </x:is>
      </x:c>
      <x:c r="G136" s="17" t="inlineStr">
        <x:is>
          <x:t xml:space="preserve">оформляет</x:t>
        </x:is>
      </x:c>
      <x:c r="H136" s="17" t="inlineStr">
        <x:is>
          <x:t xml:space="preserve">pr.go_under_is_human_name</x:t>
        </x:is>
      </x:c>
      <x:c r="I136" s="17" t="inlineStr">
        <x:is>
          <x:t xml:space="preserve">закат есть человеческое имя нисхождения</x:t>
        </x:is>
      </x:c>
      <x:c r="J136" s="17" t="inlineStr">
        <x:is>
          <x:t xml:space="preserve">principle</x:t>
        </x:is>
      </x:c>
      <x:c r="K136" s="17" t="inlineStr">
        <x:is>
          <x:t xml:space="preserve">distilled_principle</x:t>
        </x:is>
      </x:c>
      <x:c r="L136" s="17" t="inlineStr">
        <x:is>
          <x:t xml:space="preserve">1,1,1,7</x:t>
        </x:is>
      </x:c>
      <x:c r="M136" s="17" t="inlineStr">
        <x:is>
          <x:t xml:space="preserve">1,1,1,8</x:t>
        </x:is>
      </x:c>
      <x:c r="N136" s="17" t="n">
        <x:v>7</x:v>
      </x:c>
      <x:c r="O136" s="17" t="n">
        <x:v>8</x:v>
      </x:c>
      <x:c r="P136" s="17" t="inlineStr">
        <x:is>
          <x:t xml:space="preserve">[7]-[8]</x:t>
        </x:is>
      </x:c>
      <x:c r="Q136" s="17" t="inlineStr">
        <x:is>
          <x:t xml:space="preserve">|p7|p8|</x:t>
        </x:is>
      </x:c>
      <x:c r="R136" s="17" t="inlineStr">
        <x:is>
          <x:t xml:space="preserve">seg.1.1.1.7|seg.1.1.1.8</x:t>
        </x:is>
      </x:c>
      <x:c r="S136" s="17" t="inlineStr">
        <x:is>
          <x:t xml:space="preserve">de+ru+en</x:t>
        </x:is>
      </x:c>
      <x:c r="T136" s="17" t="inlineStr">
        <x:is>
          <x:t xml:space="preserve">reasoning_bridge</x:t>
        </x:is>
      </x:c>
      <x:c r="U136" s="17" t="inlineStr">
        <x:is>
          <x:t xml:space="preserve"/>
        </x:is>
      </x:c>
    </x:row>
    <x:row r="137" ht="30" customHeight="1">
      <x:c r="A137" s="17" t="inlineStr">
        <x:is>
          <x:t xml:space="preserve">m126</x:t>
        </x:is>
      </x:c>
      <x:c r="B137" s="17" t="inlineStr">
        <x:is>
          <x:t xml:space="preserve">principle_edge</x:t>
        </x:is>
      </x:c>
      <x:c r="C137" s="17" t="inlineStr">
        <x:is>
          <x:t xml:space="preserve">pr.tranquil_vision_without_envy</x:t>
        </x:is>
      </x:c>
      <x:c r="D137" s="17" t="inlineStr">
        <x:is>
          <x:t xml:space="preserve">спокойное зрение без зависти</x:t>
        </x:is>
      </x:c>
      <x:c r="E137" s="17" t="inlineStr">
        <x:is>
          <x:t xml:space="preserve">principle</x:t>
        </x:is>
      </x:c>
      <x:c r="F137" s="17" t="inlineStr">
        <x:is>
          <x:t xml:space="preserve">prepares</x:t>
        </x:is>
      </x:c>
      <x:c r="G137" s="17" t="inlineStr">
        <x:is>
          <x:t xml:space="preserve">подготавливает</x:t>
        </x:is>
      </x:c>
      <x:c r="H137" s="17" t="inlineStr">
        <x:is>
          <x:t xml:space="preserve">pr.reflected_light_can_be_carried</x:t>
        </x:is>
      </x:c>
      <x:c r="I137" s="17" t="inlineStr">
        <x:is>
          <x:t xml:space="preserve">отражённый свет может быть носим</x:t>
        </x:is>
      </x:c>
      <x:c r="J137" s="17" t="inlineStr">
        <x:is>
          <x:t xml:space="preserve">principle</x:t>
        </x:is>
      </x:c>
      <x:c r="K137" s="17" t="inlineStr">
        <x:is>
          <x:t xml:space="preserve">distilled_principle</x:t>
        </x:is>
      </x:c>
      <x:c r="L137" s="17" t="inlineStr">
        <x:is>
          <x:t xml:space="preserve">1,1,1,9</x:t>
        </x:is>
      </x:c>
      <x:c r="M137" s="17" t="inlineStr">
        <x:is>
          <x:t xml:space="preserve">1,1,1,10</x:t>
        </x:is>
      </x:c>
      <x:c r="N137" s="17" t="n">
        <x:v>9</x:v>
      </x:c>
      <x:c r="O137" s="17" t="n">
        <x:v>10</x:v>
      </x:c>
      <x:c r="P137" s="17" t="inlineStr">
        <x:is>
          <x:t xml:space="preserve">[9]-[10]</x:t>
        </x:is>
      </x:c>
      <x:c r="Q137" s="17" t="inlineStr">
        <x:is>
          <x:t xml:space="preserve">|p9|p10|</x:t>
        </x:is>
      </x:c>
      <x:c r="R137" s="17" t="inlineStr">
        <x:is>
          <x:t xml:space="preserve">seg.1.1.1.9|seg.1.1.1.10</x:t>
        </x:is>
      </x:c>
      <x:c r="S137" s="17" t="inlineStr">
        <x:is>
          <x:t xml:space="preserve">de+ru+en</x:t>
        </x:is>
      </x:c>
      <x:c r="T137" s="17" t="inlineStr">
        <x:is>
          <x:t xml:space="preserve">reasoning_bridge</x:t>
        </x:is>
      </x:c>
      <x:c r="U137" s="17" t="inlineStr">
        <x:is>
          <x:t xml:space="preserve"/>
        </x:is>
      </x:c>
    </x:row>
    <x:row r="138" ht="30" customHeight="1">
      <x:c r="A138" s="17" t="inlineStr">
        <x:is>
          <x:t xml:space="preserve">m127</x:t>
        </x:is>
      </x:c>
      <x:c r="B138" s="17" t="inlineStr">
        <x:is>
          <x:t xml:space="preserve">principle_edge</x:t>
        </x:is>
      </x:c>
      <x:c r="C138" s="17" t="inlineStr">
        <x:is>
          <x:t xml:space="preserve">pr.reflected_light_can_be_carried</x:t>
        </x:is>
      </x:c>
      <x:c r="D138" s="17" t="inlineStr">
        <x:is>
          <x:t xml:space="preserve">отражённый свет может быть носим</x:t>
        </x:is>
      </x:c>
      <x:c r="E138" s="17" t="inlineStr">
        <x:is>
          <x:t xml:space="preserve">principle</x:t>
        </x:is>
      </x:c>
      <x:c r="F138" s="17" t="inlineStr">
        <x:is>
          <x:t xml:space="preserve">prepares</x:t>
        </x:is>
      </x:c>
      <x:c r="G138" s="17" t="inlineStr">
        <x:is>
          <x:t xml:space="preserve">подготавливает</x:t>
        </x:is>
      </x:c>
      <x:c r="H138" s="17" t="inlineStr">
        <x:is>
          <x:t xml:space="preserve">pr.return_as_action</x:t>
        </x:is>
      </x:c>
      <x:c r="I138" s="17" t="inlineStr">
        <x:is>
          <x:t xml:space="preserve">возвращение как действие</x:t>
        </x:is>
      </x:c>
      <x:c r="J138" s="17" t="inlineStr">
        <x:is>
          <x:t xml:space="preserve">principle</x:t>
        </x:is>
      </x:c>
      <x:c r="K138" s="17" t="inlineStr">
        <x:is>
          <x:t xml:space="preserve">distilled_principle</x:t>
        </x:is>
      </x:c>
      <x:c r="L138" s="17" t="inlineStr">
        <x:is>
          <x:t xml:space="preserve">1,1,1,10</x:t>
        </x:is>
      </x:c>
      <x:c r="M138" s="17" t="inlineStr">
        <x:is>
          <x:t xml:space="preserve">1,1,1,11</x:t>
        </x:is>
      </x:c>
      <x:c r="N138" s="17" t="n">
        <x:v>10</x:v>
      </x:c>
      <x:c r="O138" s="17" t="n">
        <x:v>11</x:v>
      </x:c>
      <x:c r="P138" s="17" t="inlineStr">
        <x:is>
          <x:t xml:space="preserve">[10]-[11]</x:t>
        </x:is>
      </x:c>
      <x:c r="Q138" s="17" t="inlineStr">
        <x:is>
          <x:t xml:space="preserve">|p10|p11|</x:t>
        </x:is>
      </x:c>
      <x:c r="R138" s="17" t="inlineStr">
        <x:is>
          <x:t xml:space="preserve">seg.1.1.1.10|seg.1.1.1.11</x:t>
        </x:is>
      </x:c>
      <x:c r="S138" s="17" t="inlineStr">
        <x:is>
          <x:t xml:space="preserve">de+ru+en</x:t>
        </x:is>
      </x:c>
      <x:c r="T138" s="17" t="inlineStr">
        <x:is>
          <x:t xml:space="preserve">reasoning_bridge</x:t>
        </x:is>
      </x:c>
      <x:c r="U138" s="17" t="inlineStr">
        <x:is>
          <x:t xml:space="preserve"/>
        </x:is>
      </x:c>
    </x:row>
    <x:row r="139" ht="30" customHeight="1">
      <x:c r="A139" s="17" t="inlineStr">
        <x:is>
          <x:t xml:space="preserve">m128</x:t>
        </x:is>
      </x:c>
      <x:c r="B139" s="17" t="inlineStr">
        <x:is>
          <x:t xml:space="preserve">principle_edge</x:t>
        </x:is>
      </x:c>
      <x:c r="C139" s="17" t="inlineStr">
        <x:is>
          <x:t xml:space="preserve">pr.return_as_action</x:t>
        </x:is>
      </x:c>
      <x:c r="D139" s="17" t="inlineStr">
        <x:is>
          <x:t xml:space="preserve">возвращение как действие</x:t>
        </x:is>
      </x:c>
      <x:c r="E139" s="17" t="inlineStr">
        <x:is>
          <x:t xml:space="preserve">principle</x:t>
        </x:is>
      </x:c>
      <x:c r="F139" s="17" t="inlineStr">
        <x:is>
          <x:t xml:space="preserve">culminates_in</x:t>
        </x:is>
      </x:c>
      <x:c r="G139" s="17" t="inlineStr">
        <x:is>
          <x:t xml:space="preserve">кульминирует в</x:t>
        </x:is>
      </x:c>
      <x:c r="H139" s="17" t="inlineStr">
        <x:is>
          <x:t xml:space="preserve">pr.beginning_through_going_under</x:t>
        </x:is>
      </x:c>
      <x:c r="I139" s="17" t="inlineStr">
        <x:is>
          <x:t xml:space="preserve">начало через закат</x:t>
        </x:is>
      </x:c>
      <x:c r="J139" s="17" t="inlineStr">
        <x:is>
          <x:t xml:space="preserve">principle</x:t>
        </x:is>
      </x:c>
      <x:c r="K139" s="17" t="inlineStr">
        <x:is>
          <x:t xml:space="preserve">distilled_principle</x:t>
        </x:is>
      </x:c>
      <x:c r="L139" s="17" t="inlineStr">
        <x:is>
          <x:t xml:space="preserve">1,1,1,11</x:t>
        </x:is>
      </x:c>
      <x:c r="M139" s="17" t="inlineStr">
        <x:is>
          <x:t xml:space="preserve">1,1,1,12</x:t>
        </x:is>
      </x:c>
      <x:c r="N139" s="17" t="n">
        <x:v>11</x:v>
      </x:c>
      <x:c r="O139" s="17" t="n">
        <x:v>12</x:v>
      </x:c>
      <x:c r="P139" s="17" t="inlineStr">
        <x:is>
          <x:t xml:space="preserve">[11]-[12]</x:t>
        </x:is>
      </x:c>
      <x:c r="Q139" s="17" t="inlineStr">
        <x:is>
          <x:t xml:space="preserve">|p11|p12|</x:t>
        </x:is>
      </x:c>
      <x:c r="R139" s="17" t="inlineStr">
        <x:is>
          <x:t xml:space="preserve">seg.1.1.1.11|seg.1.1.1.12</x:t>
        </x:is>
      </x:c>
      <x:c r="S139" s="17" t="inlineStr">
        <x:is>
          <x:t xml:space="preserve">de+ru+en</x:t>
        </x:is>
      </x:c>
      <x:c r="T139" s="17" t="inlineStr">
        <x:is>
          <x:t xml:space="preserve">reasoning_bridge</x:t>
        </x:is>
      </x:c>
      <x:c r="U139" s="17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3164dcab83b438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4" customWidth="1"/>
    <x:col min="3" max="3" width="14" customWidth="1"/>
    <x:col min="4" max="4" width="14" customWidth="1"/>
    <x:col min="5" max="5" width="14" customWidth="1"/>
    <x:col min="6" max="6" width="14" customWidth="1"/>
    <x:col min="7" max="7" width="22" customWidth="1"/>
    <x:col min="8" max="8" width="14" customWidth="1"/>
  </x:cols>
  <x:sheetData>
    <x:row r="1" ht="24" customHeight="1">
      <x:c r="A1" s="1" t="inlineStr">
        <x:is>
          <x:t xml:space="preserve">Покрытие и аудит master-таблицы</x:t>
        </x:is>
      </x:c>
    </x:row>
    <x:row r="2" ht="20" customHeight="1">
      <x:c r="A2" s="2" t="inlineStr">
        <x:is>
          <x:t xml:space="preserve">Формульная проверка охвата по абзацам, типам строк, слоям и ролям связности.</x:t>
        </x:is>
      </x:c>
    </x:row>
    <x:row r="4">
      <x:c r="A4" s="3" t="inlineStr">
        <x:is>
          <x:t xml:space="preserve">Файл-источник</x:t>
        </x:is>
      </x:c>
      <x:c r="B4" s="4" t="inlineStr">
        <x:is>
          <x:t xml:space="preserve">zarathustra_prologue_1_de_ru_en_merged.md</x:t>
        </x:is>
      </x:c>
    </x:row>
    <x:row r="5">
      <x:c r="A5" s="3" t="inlineStr">
        <x:is>
          <x:t xml:space="preserve">Master sheet</x:t>
        </x:is>
      </x:c>
      <x:c r="B5" s="4" t="inlineStr">
        <x:is>
          <x:t xml:space="preserve">15_Master_связность_1_12</x:t>
        </x:is>
      </x:c>
    </x:row>
    <x:row r="6">
      <x:c r="A6" s="3" t="inlineStr">
        <x:is>
          <x:t xml:space="preserve">Всего строк</x:t>
        </x:is>
      </x:c>
      <x:c r="B6" s="4">
        <x:f>'15_Master_связность_1_12'!B5</x:f>
        <x:v>128</x:v>
      </x:c>
    </x:row>
    <x:row r="9" ht="28" customHeight="1">
      <x:c r="A9" s="5" t="inlineStr">
        <x:is>
          <x:t xml:space="preserve">Абзац</x:t>
        </x:is>
      </x:c>
      <x:c r="B9" s="5" t="inlineStr">
        <x:is>
          <x:t xml:space="preserve">segment_id</x:t>
        </x:is>
      </x:c>
      <x:c r="C9" s="5" t="inlineStr">
        <x:is>
          <x:t xml:space="preserve">Всего строк</x:t>
        </x:is>
      </x:c>
      <x:c r="D9" s="5" t="inlineStr">
        <x:is>
          <x:t xml:space="preserve">source_edge</x:t>
        </x:is>
      </x:c>
      <x:c r="E9" s="5" t="inlineStr">
        <x:is>
          <x:t xml:space="preserve">bridge_edge</x:t>
        </x:is>
      </x:c>
      <x:c r="F9" s="5" t="inlineStr">
        <x:is>
          <x:t xml:space="preserve">principle_edge</x:t>
        </x:is>
      </x:c>
    </x:row>
    <x:row r="10">
      <x:c r="A10" s="4" t="inlineStr">
        <x:is>
          <x:t xml:space="preserve">[1]</x:t>
        </x:is>
      </x:c>
      <x:c r="B10" s="4" t="inlineStr">
        <x:is>
          <x:t xml:space="preserve">seg.1.1.1.1</x:t>
        </x:is>
      </x:c>
      <x:c r="C10" s="4">
        <x:f>COUNTIFS('15_Master_связность_1_12'!$N$12:$N$139,"&lt;=1",'15_Master_связность_1_12'!$O$12:$O$139,"&gt;=1")</x:f>
        <x:v>17</x:v>
      </x:c>
      <x:c r="D10" s="4">
        <x:f>COUNTIFS('15_Master_связность_1_12'!$N$12:$N$139,"&lt;=1",'15_Master_связность_1_12'!$O$12:$O$139,"&gt;=1",'15_Master_связность_1_12'!$B$12:$B$139,"source_edge")</x:f>
        <x:v>12</x:v>
      </x:c>
      <x:c r="E10" s="4">
        <x:f>COUNTIFS('15_Master_связность_1_12'!$N$12:$N$139,"&lt;=1",'15_Master_связность_1_12'!$O$12:$O$139,"&gt;=1",'15_Master_связность_1_12'!$B$12:$B$139,"bridge_edge")</x:f>
        <x:v>2</x:v>
      </x:c>
      <x:c r="F10" s="4">
        <x:f>COUNTIFS('15_Master_связность_1_12'!$N$12:$N$139,"&lt;=1",'15_Master_связность_1_12'!$O$12:$O$139,"&gt;=1",'15_Master_связность_1_12'!$B$12:$B$139,"principle_edge")</x:f>
        <x:v>3</x:v>
      </x:c>
      <x:c r="G10" s="4" t="n"/>
      <x:c r="H10" s="4" t="n"/>
    </x:row>
    <x:row r="11">
      <x:c r="A11" s="4" t="inlineStr">
        <x:is>
          <x:t xml:space="preserve">[2]</x:t>
        </x:is>
      </x:c>
      <x:c r="B11" s="4" t="inlineStr">
        <x:is>
          <x:t xml:space="preserve">seg.1.1.1.2</x:t>
        </x:is>
      </x:c>
      <x:c r="C11" s="4">
        <x:f>COUNTIFS('15_Master_связность_1_12'!$N$12:$N$139,"&lt;=2",'15_Master_связность_1_12'!$O$12:$O$139,"&gt;=2")</x:f>
        <x:v>6</x:v>
      </x:c>
      <x:c r="D11" s="4">
        <x:f>COUNTIFS('15_Master_связность_1_12'!$N$12:$N$139,"&lt;=2",'15_Master_связность_1_12'!$O$12:$O$139,"&gt;=2",'15_Master_связность_1_12'!$B$12:$B$139,"source_edge")</x:f>
        <x:v>4</x:v>
      </x:c>
      <x:c r="E11" s="4">
        <x:f>COUNTIFS('15_Master_связность_1_12'!$N$12:$N$139,"&lt;=2",'15_Master_связность_1_12'!$O$12:$O$139,"&gt;=2",'15_Master_связность_1_12'!$B$12:$B$139,"bridge_edge")</x:f>
        <x:v>0</x:v>
      </x:c>
      <x:c r="F11" s="4">
        <x:f>COUNTIFS('15_Master_связность_1_12'!$N$12:$N$139,"&lt;=2",'15_Master_связность_1_12'!$O$12:$O$139,"&gt;=2",'15_Master_связность_1_12'!$B$12:$B$139,"principle_edge")</x:f>
        <x:v>2</x:v>
      </x:c>
      <x:c r="G11" s="4" t="n"/>
      <x:c r="H11" s="4" t="n"/>
    </x:row>
    <x:row r="12">
      <x:c r="A12" s="4" t="inlineStr">
        <x:is>
          <x:t xml:space="preserve">[3]</x:t>
        </x:is>
      </x:c>
      <x:c r="B12" s="4" t="inlineStr">
        <x:is>
          <x:t xml:space="preserve">seg.1.1.1.3</x:t>
        </x:is>
      </x:c>
      <x:c r="C12" s="4">
        <x:f>COUNTIFS('15_Master_связность_1_12'!$N$12:$N$139,"&lt;=3",'15_Master_связность_1_12'!$O$12:$O$139,"&gt;=3")</x:f>
        <x:v>11</x:v>
      </x:c>
      <x:c r="D12" s="4">
        <x:f>COUNTIFS('15_Master_связность_1_12'!$N$12:$N$139,"&lt;=3",'15_Master_связность_1_12'!$O$12:$O$139,"&gt;=3",'15_Master_связность_1_12'!$B$12:$B$139,"source_edge")</x:f>
        <x:v>10</x:v>
      </x:c>
      <x:c r="E12" s="4">
        <x:f>COUNTIFS('15_Master_связность_1_12'!$N$12:$N$139,"&lt;=3",'15_Master_связность_1_12'!$O$12:$O$139,"&gt;=3",'15_Master_связность_1_12'!$B$12:$B$139,"bridge_edge")</x:f>
        <x:v>0</x:v>
      </x:c>
      <x:c r="F12" s="4">
        <x:f>COUNTIFS('15_Master_связность_1_12'!$N$12:$N$139,"&lt;=3",'15_Master_связность_1_12'!$O$12:$O$139,"&gt;=3",'15_Master_связность_1_12'!$B$12:$B$139,"principle_edge")</x:f>
        <x:v>1</x:v>
      </x:c>
      <x:c r="G12" s="4" t="n"/>
      <x:c r="H12" s="4" t="n"/>
    </x:row>
    <x:row r="13">
      <x:c r="A13" s="4" t="inlineStr">
        <x:is>
          <x:t xml:space="preserve">[4]</x:t>
        </x:is>
      </x:c>
      <x:c r="B13" s="4" t="inlineStr">
        <x:is>
          <x:t xml:space="preserve">seg.1.1.1.4</x:t>
        </x:is>
      </x:c>
      <x:c r="C13" s="4">
        <x:f>COUNTIFS('15_Master_связность_1_12'!$N$12:$N$139,"&lt;=4",'15_Master_связность_1_12'!$O$12:$O$139,"&gt;=4")</x:f>
        <x:v>14</x:v>
      </x:c>
      <x:c r="D13" s="4">
        <x:f>COUNTIFS('15_Master_связность_1_12'!$N$12:$N$139,"&lt;=4",'15_Master_связность_1_12'!$O$12:$O$139,"&gt;=4",'15_Master_связность_1_12'!$B$12:$B$139,"source_edge")</x:f>
        <x:v>9</x:v>
      </x:c>
      <x:c r="E13" s="4">
        <x:f>COUNTIFS('15_Master_связность_1_12'!$N$12:$N$139,"&lt;=4",'15_Master_связность_1_12'!$O$12:$O$139,"&gt;=4",'15_Master_связность_1_12'!$B$12:$B$139,"bridge_edge")</x:f>
        <x:v>1</x:v>
      </x:c>
      <x:c r="F13" s="4">
        <x:f>COUNTIFS('15_Master_связность_1_12'!$N$12:$N$139,"&lt;=4",'15_Master_связность_1_12'!$O$12:$O$139,"&gt;=4",'15_Master_связность_1_12'!$B$12:$B$139,"principle_edge")</x:f>
        <x:v>4</x:v>
      </x:c>
      <x:c r="G13" s="4" t="n"/>
      <x:c r="H13" s="4" t="n"/>
    </x:row>
    <x:row r="14">
      <x:c r="A14" s="4" t="inlineStr">
        <x:is>
          <x:t xml:space="preserve">[5]</x:t>
        </x:is>
      </x:c>
      <x:c r="B14" s="4" t="inlineStr">
        <x:is>
          <x:t xml:space="preserve">seg.1.1.1.5</x:t>
        </x:is>
      </x:c>
      <x:c r="C14" s="4">
        <x:f>COUNTIFS('15_Master_связность_1_12'!$N$12:$N$139,"&lt;=5",'15_Master_связность_1_12'!$O$12:$O$139,"&gt;=5")</x:f>
        <x:v>17</x:v>
      </x:c>
      <x:c r="D14" s="4">
        <x:f>COUNTIFS('15_Master_связность_1_12'!$N$12:$N$139,"&lt;=5",'15_Master_связность_1_12'!$O$12:$O$139,"&gt;=5",'15_Master_связность_1_12'!$B$12:$B$139,"source_edge")</x:f>
        <x:v>9</x:v>
      </x:c>
      <x:c r="E14" s="4">
        <x:f>COUNTIFS('15_Master_связность_1_12'!$N$12:$N$139,"&lt;=5",'15_Master_связность_1_12'!$O$12:$O$139,"&gt;=5",'15_Master_связность_1_12'!$B$12:$B$139,"bridge_edge")</x:f>
        <x:v>2</x:v>
      </x:c>
      <x:c r="F14" s="4">
        <x:f>COUNTIFS('15_Master_связность_1_12'!$N$12:$N$139,"&lt;=5",'15_Master_связность_1_12'!$O$12:$O$139,"&gt;=5",'15_Master_связность_1_12'!$B$12:$B$139,"principle_edge")</x:f>
        <x:v>6</x:v>
      </x:c>
      <x:c r="G14" s="4" t="n"/>
      <x:c r="H14" s="4" t="n"/>
    </x:row>
    <x:row r="15">
      <x:c r="A15" s="4" t="inlineStr">
        <x:is>
          <x:t xml:space="preserve">[6]</x:t>
        </x:is>
      </x:c>
      <x:c r="B15" s="4" t="inlineStr">
        <x:is>
          <x:t xml:space="preserve">seg.1.1.1.6</x:t>
        </x:is>
      </x:c>
      <x:c r="C15" s="4">
        <x:f>COUNTIFS('15_Master_связность_1_12'!$N$12:$N$139,"&lt;=6",'15_Master_связность_1_12'!$O$12:$O$139,"&gt;=6")</x:f>
        <x:v>23</x:v>
      </x:c>
      <x:c r="D15" s="4">
        <x:f>COUNTIFS('15_Master_связность_1_12'!$N$12:$N$139,"&lt;=6",'15_Master_связность_1_12'!$O$12:$O$139,"&gt;=6",'15_Master_связность_1_12'!$B$12:$B$139,"source_edge")</x:f>
        <x:v>15</x:v>
      </x:c>
      <x:c r="E15" s="4">
        <x:f>COUNTIFS('15_Master_связность_1_12'!$N$12:$N$139,"&lt;=6",'15_Master_связность_1_12'!$O$12:$O$139,"&gt;=6",'15_Master_связность_1_12'!$B$12:$B$139,"bridge_edge")</x:f>
        <x:v>2</x:v>
      </x:c>
      <x:c r="F15" s="4">
        <x:f>COUNTIFS('15_Master_связность_1_12'!$N$12:$N$139,"&lt;=6",'15_Master_связность_1_12'!$O$12:$O$139,"&gt;=6",'15_Master_связность_1_12'!$B$12:$B$139,"principle_edge")</x:f>
        <x:v>6</x:v>
      </x:c>
      <x:c r="G15" s="4" t="n"/>
      <x:c r="H15" s="4" t="n"/>
    </x:row>
    <x:row r="16">
      <x:c r="A16" s="4" t="inlineStr">
        <x:is>
          <x:t xml:space="preserve">[7]</x:t>
        </x:is>
      </x:c>
      <x:c r="B16" s="4" t="inlineStr">
        <x:is>
          <x:t xml:space="preserve">seg.1.1.1.7</x:t>
        </x:is>
      </x:c>
      <x:c r="C16" s="4">
        <x:f>COUNTIFS('15_Master_связность_1_12'!$N$12:$N$139,"&lt;=7",'15_Master_связность_1_12'!$O$12:$O$139,"&gt;=7")</x:f>
        <x:v>16</x:v>
      </x:c>
      <x:c r="D16" s="4">
        <x:f>COUNTIFS('15_Master_связность_1_12'!$N$12:$N$139,"&lt;=7",'15_Master_связность_1_12'!$O$12:$O$139,"&gt;=7",'15_Master_связность_1_12'!$B$12:$B$139,"source_edge")</x:f>
        <x:v>11</x:v>
      </x:c>
      <x:c r="E16" s="4">
        <x:f>COUNTIFS('15_Master_связность_1_12'!$N$12:$N$139,"&lt;=7",'15_Master_связность_1_12'!$O$12:$O$139,"&gt;=7",'15_Master_связность_1_12'!$B$12:$B$139,"bridge_edge")</x:f>
        <x:v>1</x:v>
      </x:c>
      <x:c r="F16" s="4">
        <x:f>COUNTIFS('15_Master_связность_1_12'!$N$12:$N$139,"&lt;=7",'15_Master_связность_1_12'!$O$12:$O$139,"&gt;=7",'15_Master_связность_1_12'!$B$12:$B$139,"principle_edge")</x:f>
        <x:v>4</x:v>
      </x:c>
      <x:c r="G16" s="4" t="n"/>
      <x:c r="H16" s="4" t="n"/>
    </x:row>
    <x:row r="17">
      <x:c r="A17" s="4" t="inlineStr">
        <x:is>
          <x:t xml:space="preserve">[8]</x:t>
        </x:is>
      </x:c>
      <x:c r="B17" s="4" t="inlineStr">
        <x:is>
          <x:t xml:space="preserve">seg.1.1.1.8</x:t>
        </x:is>
      </x:c>
      <x:c r="C17" s="4">
        <x:f>COUNTIFS('15_Master_связность_1_12'!$N$12:$N$139,"&lt;=8",'15_Master_связность_1_12'!$O$12:$O$139,"&gt;=8")</x:f>
        <x:v>10</x:v>
      </x:c>
      <x:c r="D17" s="4">
        <x:f>COUNTIFS('15_Master_связность_1_12'!$N$12:$N$139,"&lt;=8",'15_Master_связность_1_12'!$O$12:$O$139,"&gt;=8",'15_Master_связность_1_12'!$B$12:$B$139,"source_edge")</x:f>
        <x:v>6</x:v>
      </x:c>
      <x:c r="E17" s="4">
        <x:f>COUNTIFS('15_Master_связность_1_12'!$N$12:$N$139,"&lt;=8",'15_Master_связность_1_12'!$O$12:$O$139,"&gt;=8",'15_Master_связность_1_12'!$B$12:$B$139,"bridge_edge")</x:f>
        <x:v>2</x:v>
      </x:c>
      <x:c r="F17" s="4">
        <x:f>COUNTIFS('15_Master_связность_1_12'!$N$12:$N$139,"&lt;=8",'15_Master_связность_1_12'!$O$12:$O$139,"&gt;=8",'15_Master_связность_1_12'!$B$12:$B$139,"principle_edge")</x:f>
        <x:v>2</x:v>
      </x:c>
      <x:c r="G17" s="4" t="n"/>
      <x:c r="H17" s="4" t="n"/>
    </x:row>
    <x:row r="18">
      <x:c r="A18" s="4" t="inlineStr">
        <x:is>
          <x:t xml:space="preserve">[9]</x:t>
        </x:is>
      </x:c>
      <x:c r="B18" s="4" t="inlineStr">
        <x:is>
          <x:t xml:space="preserve">seg.1.1.1.9</x:t>
        </x:is>
      </x:c>
      <x:c r="C18" s="4">
        <x:f>COUNTIFS('15_Master_связность_1_12'!$N$12:$N$139,"&lt;=9",'15_Master_связность_1_12'!$O$12:$O$139,"&gt;=9")</x:f>
        <x:v>12</x:v>
      </x:c>
      <x:c r="D18" s="4">
        <x:f>COUNTIFS('15_Master_связность_1_12'!$N$12:$N$139,"&lt;=9",'15_Master_связность_1_12'!$O$12:$O$139,"&gt;=9",'15_Master_связность_1_12'!$B$12:$B$139,"source_edge")</x:f>
        <x:v>7</x:v>
      </x:c>
      <x:c r="E18" s="4">
        <x:f>COUNTIFS('15_Master_связность_1_12'!$N$12:$N$139,"&lt;=9",'15_Master_связность_1_12'!$O$12:$O$139,"&gt;=9",'15_Master_связность_1_12'!$B$12:$B$139,"bridge_edge")</x:f>
        <x:v>3</x:v>
      </x:c>
      <x:c r="F18" s="4">
        <x:f>COUNTIFS('15_Master_связность_1_12'!$N$12:$N$139,"&lt;=9",'15_Master_связность_1_12'!$O$12:$O$139,"&gt;=9",'15_Master_связность_1_12'!$B$12:$B$139,"principle_edge")</x:f>
        <x:v>2</x:v>
      </x:c>
      <x:c r="G18" s="4" t="n"/>
      <x:c r="H18" s="4" t="n"/>
    </x:row>
    <x:row r="19">
      <x:c r="A19" s="4" t="inlineStr">
        <x:is>
          <x:t xml:space="preserve">[10]</x:t>
        </x:is>
      </x:c>
      <x:c r="B19" s="4" t="inlineStr">
        <x:is>
          <x:t xml:space="preserve">seg.1.1.1.10</x:t>
        </x:is>
      </x:c>
      <x:c r="C19" s="4">
        <x:f>COUNTIFS('15_Master_связность_1_12'!$N$12:$N$139,"&lt;=10",'15_Master_связность_1_12'!$O$12:$O$139,"&gt;=10")</x:f>
        <x:v>19</x:v>
      </x:c>
      <x:c r="D19" s="4">
        <x:f>COUNTIFS('15_Master_связность_1_12'!$N$12:$N$139,"&lt;=10",'15_Master_связность_1_12'!$O$12:$O$139,"&gt;=10",'15_Master_связность_1_12'!$B$12:$B$139,"source_edge")</x:f>
        <x:v>12</x:v>
      </x:c>
      <x:c r="E19" s="4">
        <x:f>COUNTIFS('15_Master_связность_1_12'!$N$12:$N$139,"&lt;=10",'15_Master_связность_1_12'!$O$12:$O$139,"&gt;=10",'15_Master_связность_1_12'!$B$12:$B$139,"bridge_edge")</x:f>
        <x:v>4</x:v>
      </x:c>
      <x:c r="F19" s="4">
        <x:f>COUNTIFS('15_Master_связность_1_12'!$N$12:$N$139,"&lt;=10",'15_Master_связность_1_12'!$O$12:$O$139,"&gt;=10",'15_Master_связность_1_12'!$B$12:$B$139,"principle_edge")</x:f>
        <x:v>3</x:v>
      </x:c>
      <x:c r="G19" s="4" t="n"/>
      <x:c r="H19" s="4" t="n"/>
    </x:row>
    <x:row r="20">
      <x:c r="A20" s="4" t="inlineStr">
        <x:is>
          <x:t xml:space="preserve">[11]</x:t>
        </x:is>
      </x:c>
      <x:c r="B20" s="4" t="inlineStr">
        <x:is>
          <x:t xml:space="preserve">seg.1.1.1.11</x:t>
        </x:is>
      </x:c>
      <x:c r="C20" s="4">
        <x:f>COUNTIFS('15_Master_связность_1_12'!$N$12:$N$139,"&lt;=11",'15_Master_связность_1_12'!$O$12:$O$139,"&gt;=11")</x:f>
        <x:v>11</x:v>
      </x:c>
      <x:c r="D20" s="4">
        <x:f>COUNTIFS('15_Master_связность_1_12'!$N$12:$N$139,"&lt;=11",'15_Master_связность_1_12'!$O$12:$O$139,"&gt;=11",'15_Master_связность_1_12'!$B$12:$B$139,"source_edge")</x:f>
        <x:v>5</x:v>
      </x:c>
      <x:c r="E20" s="4">
        <x:f>COUNTIFS('15_Master_связность_1_12'!$N$12:$N$139,"&lt;=11",'15_Master_связность_1_12'!$O$12:$O$139,"&gt;=11",'15_Master_связность_1_12'!$B$12:$B$139,"bridge_edge")</x:f>
        <x:v>3</x:v>
      </x:c>
      <x:c r="F20" s="4">
        <x:f>COUNTIFS('15_Master_связность_1_12'!$N$12:$N$139,"&lt;=11",'15_Master_связность_1_12'!$O$12:$O$139,"&gt;=11",'15_Master_связность_1_12'!$B$12:$B$139,"principle_edge")</x:f>
        <x:v>3</x:v>
      </x:c>
      <x:c r="G20" s="4" t="n"/>
      <x:c r="H20" s="4" t="n"/>
    </x:row>
    <x:row r="21">
      <x:c r="A21" s="4" t="inlineStr">
        <x:is>
          <x:t xml:space="preserve">[12]</x:t>
        </x:is>
      </x:c>
      <x:c r="B21" s="4" t="inlineStr">
        <x:is>
          <x:t xml:space="preserve">seg.1.1.1.12</x:t>
        </x:is>
      </x:c>
      <x:c r="C21" s="4">
        <x:f>COUNTIFS('15_Master_связность_1_12'!$N$12:$N$139,"&lt;=12",'15_Master_связность_1_12'!$O$12:$O$139,"&gt;=12")</x:f>
        <x:v>6</x:v>
      </x:c>
      <x:c r="D21" s="4">
        <x:f>COUNTIFS('15_Master_связность_1_12'!$N$12:$N$139,"&lt;=12",'15_Master_связность_1_12'!$O$12:$O$139,"&gt;=12",'15_Master_связность_1_12'!$B$12:$B$139,"source_edge")</x:f>
        <x:v>2</x:v>
      </x:c>
      <x:c r="E21" s="4">
        <x:f>COUNTIFS('15_Master_связность_1_12'!$N$12:$N$139,"&lt;=12",'15_Master_связность_1_12'!$O$12:$O$139,"&gt;=12",'15_Master_связность_1_12'!$B$12:$B$139,"bridge_edge")</x:f>
        <x:v>2</x:v>
      </x:c>
      <x:c r="F21" s="4">
        <x:f>COUNTIFS('15_Master_связность_1_12'!$N$12:$N$139,"&lt;=12",'15_Master_связность_1_12'!$O$12:$O$139,"&gt;=12",'15_Master_связность_1_12'!$B$12:$B$139,"principle_edge")</x:f>
        <x:v>2</x:v>
      </x:c>
      <x:c r="G21" s="4" t="n"/>
      <x:c r="H21" s="4" t="n"/>
    </x:row>
    <x:row r="22">
      <x:c r="A22" s="4" t="n"/>
      <x:c r="B22" s="4" t="n"/>
      <x:c r="C22" s="4" t="n"/>
      <x:c r="D22" s="4" t="n"/>
      <x:c r="E22" s="4" t="n"/>
      <x:c r="F22" s="4" t="n"/>
      <x:c r="G22" s="4" t="n"/>
      <x:c r="H22" s="4" t="n"/>
    </x:row>
    <x:row r="23">
      <x:c r="A23" s="4" t="n"/>
      <x:c r="B23" s="4" t="n"/>
      <x:c r="C23" s="4" t="n"/>
      <x:c r="D23" s="4" t="n"/>
      <x:c r="E23" s="4" t="n"/>
      <x:c r="F23" s="4" t="n"/>
      <x:c r="G23" s="4" t="n"/>
      <x:c r="H23" s="4" t="n"/>
    </x:row>
    <x:row r="24">
      <x:c r="A24" s="19" t="inlineStr">
        <x:is>
          <x:t xml:space="preserve">Тип строки</x:t>
        </x:is>
      </x:c>
      <x:c r="B24" s="19" t="inlineStr">
        <x:is>
          <x:t xml:space="preserve">Количество</x:t>
        </x:is>
      </x:c>
      <x:c r="C24" s="4" t="n"/>
      <x:c r="D24" s="19" t="inlineStr">
        <x:is>
          <x:t xml:space="preserve">Слой</x:t>
        </x:is>
      </x:c>
      <x:c r="E24" s="19" t="inlineStr">
        <x:is>
          <x:t xml:space="preserve">Количество</x:t>
        </x:is>
      </x:c>
      <x:c r="F24" s="4" t="n"/>
      <x:c r="G24" s="19" t="inlineStr">
        <x:is>
          <x:t xml:space="preserve">Роль связности</x:t>
        </x:is>
      </x:c>
      <x:c r="H24" s="19" t="inlineStr">
        <x:is>
          <x:t xml:space="preserve">Количество</x:t>
        </x:is>
      </x:c>
    </x:row>
    <x:row r="25">
      <x:c r="A25" s="20" t="inlineStr">
        <x:is>
          <x:t xml:space="preserve">source_edge</x:t>
        </x:is>
      </x:c>
      <x:c r="B25" s="21">
        <x:f>COUNTIF('15_Master_связность_1_12'!$B$12:$B$139,"source_edge")</x:f>
        <x:v>95</x:v>
      </x:c>
      <x:c r="C25" s="4" t="n"/>
      <x:c r="D25" s="20" t="inlineStr">
        <x:is>
          <x:t xml:space="preserve">source_linked</x:t>
        </x:is>
      </x:c>
      <x:c r="E25" s="21">
        <x:f>COUNTIF('15_Master_связность_1_12'!$K$12:$K$139,"source_linked")</x:f>
        <x:v>106</x:v>
      </x:c>
      <x:c r="F25" s="4" t="n"/>
      <x:c r="G25" s="20" t="inlineStr">
        <x:is>
          <x:t xml:space="preserve">local_chain</x:t>
        </x:is>
      </x:c>
      <x:c r="H25" s="21">
        <x:f>COUNTIF('15_Master_связность_1_12'!$T$12:$T$139,"local_chain")</x:f>
        <x:v>88</x:v>
      </x:c>
    </x:row>
    <x:row r="26">
      <x:c r="A26" s="20" t="inlineStr">
        <x:is>
          <x:t xml:space="preserve">bridge_edge</x:t>
        </x:is>
      </x:c>
      <x:c r="B26" s="21">
        <x:f>COUNTIF('15_Master_связность_1_12'!$B$12:$B$139,"bridge_edge")</x:f>
        <x:v>11</x:v>
      </x:c>
      <x:c r="C26" s="4" t="n"/>
      <x:c r="D26" s="20" t="inlineStr">
        <x:is>
          <x:t xml:space="preserve">distilled_principle</x:t>
        </x:is>
      </x:c>
      <x:c r="E26" s="21">
        <x:f>COUNTIF('15_Master_связность_1_12'!$K$12:$K$139,"distilled_principle")</x:f>
        <x:v>21</x:v>
      </x:c>
      <x:c r="F26" s="4" t="n"/>
      <x:c r="G26" s="20" t="inlineStr">
        <x:is>
          <x:t xml:space="preserve">reasoning_bridge</x:t>
        </x:is>
      </x:c>
      <x:c r="H26" s="21">
        <x:f>COUNTIF('15_Master_связность_1_12'!$T$12:$T$139,"reasoning_bridge")</x:f>
        <x:v>19</x:v>
      </x:c>
    </x:row>
    <x:row r="27">
      <x:c r="A27" s="20" t="inlineStr">
        <x:is>
          <x:t xml:space="preserve">principle_edge</x:t>
        </x:is>
      </x:c>
      <x:c r="B27" s="21">
        <x:f>COUNTIF('15_Master_связность_1_12'!$B$12:$B$139,"principle_edge")</x:f>
        <x:v>22</x:v>
      </x:c>
      <x:c r="C27" s="4" t="n"/>
      <x:c r="D27" s="20" t="inlineStr">
        <x:is>
          <x:t xml:space="preserve">authored_commentary</x:t>
        </x:is>
      </x:c>
      <x:c r="E27" s="21">
        <x:f>COUNTIF('15_Master_связность_1_12'!$K$12:$K$139,"authored_commentary")</x:f>
        <x:v>1</x:v>
      </x:c>
      <x:c r="F27" s="4" t="n"/>
      <x:c r="G27" s="20" t="inlineStr">
        <x:is>
          <x:t xml:space="preserve">multi_anchor</x:t>
        </x:is>
      </x:c>
      <x:c r="H27" s="21">
        <x:f>COUNTIF('15_Master_связность_1_12'!$T$12:$T$139,"multi_anchor")</x:f>
        <x:v>7</x:v>
      </x:c>
    </x:row>
    <x:row r="28">
      <x:c r="A28" s="20" t="n"/>
      <x:c r="B28" s="21" t="n"/>
      <x:c r="C28" s="4" t="n"/>
      <x:c r="D28" s="20" t="n"/>
      <x:c r="E28" s="21" t="n"/>
      <x:c r="F28" s="4" t="n"/>
      <x:c r="G28" s="20" t="inlineStr">
        <x:is>
          <x:t xml:space="preserve">principle_support</x:t>
        </x:is>
      </x:c>
      <x:c r="H28" s="21">
        <x:f>COUNTIF('15_Master_связность_1_12'!$T$12:$T$139,"principle_support")</x:f>
        <x:v>13</x:v>
      </x:c>
    </x:row>
    <x:row r="29">
      <x:c r="A29" s="20" t="n"/>
      <x:c r="B29" s="21" t="n"/>
      <x:c r="C29" s="4" t="n"/>
      <x:c r="D29" s="20" t="n"/>
      <x:c r="E29" s="21" t="n"/>
      <x:c r="F29" s="4" t="n"/>
      <x:c r="G29" s="20" t="inlineStr">
        <x:is>
          <x:t xml:space="preserve">symbolic_support</x:t>
        </x:is>
      </x:c>
      <x:c r="H29" s="21">
        <x:f>COUNTIF('15_Master_связность_1_12'!$T$12:$T$139,"symbolic_support")</x:f>
        <x:v>1</x:v>
      </x:c>
    </x:row>
    <x:row r="30">
      <x:c r="A30" s="4" t="n"/>
      <x:c r="B30" s="4" t="n"/>
      <x:c r="C30" s="4" t="n"/>
      <x:c r="D30" s="4" t="n"/>
      <x:c r="E30" s="4" t="n"/>
      <x:c r="F30" s="4" t="n"/>
      <x:c r="G30" s="4" t="n"/>
      <x:c r="H30" s="4" t="n"/>
    </x:row>
    <x:row r="31">
      <x:c r="A31" s="4" t="n"/>
      <x:c r="B31" s="4" t="n"/>
      <x:c r="C31" s="4" t="n"/>
      <x:c r="D31" s="4" t="n"/>
      <x:c r="E31" s="4" t="n"/>
      <x:c r="F31" s="4" t="n"/>
      <x:c r="G31" s="4" t="n"/>
      <x:c r="H31" s="4" t="n"/>
    </x:row>
    <x:row r="32">
      <x:c r="A32" s="22" t="inlineStr">
        <x:is>
          <x:t xml:space="preserve">Проверка охвата</x:t>
        </x:is>
      </x:c>
      <x:c r="B32" s="4" t="inlineStr">
        <x:is>
          <x:t xml:space="preserve">Есть ли строки по каждому [n]?</x:t>
        </x:is>
      </x:c>
      <x:c r="C32" s="4" t="n"/>
      <x:c r="D32" s="4" t="n"/>
      <x:c r="E32" s="4" t="n"/>
      <x:c r="F32" s="4" t="n"/>
      <x:c r="G32" s="4" t="n"/>
      <x:c r="H32" s="4" t="n"/>
    </x:row>
    <x:row r="33">
      <x:c r="A33" s="22" t="inlineStr">
        <x:is>
          <x:t xml:space="preserve">Результат</x:t>
        </x:is>
      </x:c>
      <x:c r="B33" s="4" t="str">
        <x:f>IF(MIN(C10:C21)&gt;0,"да","нет")</x:f>
        <x:v>да</x:v>
      </x:c>
      <x:c r="C33" s="4" t="n"/>
      <x:c r="D33" s="4" t="n"/>
      <x:c r="E33" s="4" t="n"/>
      <x:c r="F33" s="4" t="n"/>
      <x:c r="G33" s="4" t="n"/>
      <x:c r="H33" s="4" t="n"/>
    </x:row>
  </x:sheetData>
  <x:pageMargins left="0.7" right="0.7" top="0.75" bottom="0.75" header="0.3" footer="0.3"/>
  <x:tableParts count="1">
    <x:tablePart xmlns:r="http://schemas.openxmlformats.org/officeDocument/2006/relationships" r:id="R64b2622d2daf49ec"/>
  </x:tableParts>
</x:worksheet>
</file>