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44c5535994d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bc804a94cc854db6"/>
    <x:sheet xmlns:r="http://schemas.openxmlformats.org/officeDocument/2006/relationships" name="gaps" sheetId="2" r:id="R2ad98de3a73442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9"/>
      <x:name val="Aptos"/>
    </x:font>
    <x:font>
      <x:b/>
      <x:sz val="10"/>
      <x:color rgb="FFFFFFFF"/>
      <x:name val="Aptos Display"/>
    </x:font>
    <x:font>
      <x:sz val="9"/>
      <x:color rgb="FF0563C1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EAF2F8"/>
      </x:patternFill>
    </x:fill>
    <x:fill>
      <x:patternFill patternType="solid">
        <x:fgColor rgb="FFFFF8E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4" borderId="6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1" fillId="3" borderId="13" xfId="0" applyNumberFormat="1" applyFont="1" applyFill="1" applyBorder="1" applyAlignment="1">
      <x:alignment vertical="top" wrapText="1"/>
    </x:xf>
    <x:xf numFmtId="0" fontId="1" fillId="4" borderId="14" xfId="0" applyNumberFormat="1" applyFont="1" applyFill="1" applyBorder="1" applyAlignment="1">
      <x:alignment vertical="top" wrapText="1"/>
    </x:xf>
    <x:xf numFmtId="0" fontId="1" fillId="3" borderId="15" xfId="0" applyNumberFormat="1" applyFont="1" applyFill="1" applyBorder="1" applyAlignment="1">
      <x:alignment vertical="top" wrapText="1"/>
    </x:xf>
    <x:xf numFmtId="0" fontId="1" fillId="3" borderId="16" xfId="0" applyNumberFormat="1" applyFont="1" applyFill="1" applyBorder="1" applyAlignment="1">
      <x:alignment vertical="top" wrapText="1"/>
    </x:xf>
    <x:xf numFmtId="0" fontId="1" fillId="0" borderId="16" xfId="0" applyNumberFormat="1" applyFont="1" applyFill="1" applyBorder="1" applyAlignment="1">
      <x:alignment vertical="top" wrapText="1"/>
    </x:xf>
    <x:xf numFmtId="0" fontId="1" fillId="4" borderId="16" xfId="0" applyNumberFormat="1" applyFont="1" applyFill="1" applyBorder="1" applyAlignment="1">
      <x:alignment vertical="top" wrapText="1"/>
    </x:xf>
    <x:xf numFmtId="0" fontId="1" fillId="4" borderId="17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1" fillId="4" borderId="7" xfId="0" applyNumberFormat="1" applyFont="1" applyFill="1" applyBorder="1" applyAlignment="1">
      <x:alignment vertical="top" wrapText="1"/>
    </x:xf>
    <x:xf numFmtId="0" fontId="1" fillId="4" borderId="13" xfId="0" applyNumberFormat="1" applyFont="1" applyFill="1" applyBorder="1" applyAlignment="1">
      <x:alignment vertical="top" wrapText="1"/>
    </x:xf>
    <x:xf numFmtId="0" fontId="1" fillId="4" borderId="15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6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0e9ac69f4f4859" /><Relationship Type="http://schemas.openxmlformats.org/officeDocument/2006/relationships/theme" Target="/xl/theme/theme1.xml" Id="R3521665fd6634ce7" /><Relationship Type="http://schemas.openxmlformats.org/officeDocument/2006/relationships/sharedStrings" Target="/xl/sharedStrings.xml" Id="Rf14b3110edd84549" /><Relationship Type="http://schemas.openxmlformats.org/officeDocument/2006/relationships/worksheet" Target="/xl/worksheets/sheet1.xml" Id="Rbc804a94cc854db6" /><Relationship Type="http://schemas.openxmlformats.org/officeDocument/2006/relationships/worksheet" Target="/xl/worksheets/sheet2.xml" Id="R2ad98de3a73442d2" /></Relationships>
</file>

<file path=xl/tables/table1.xml><?xml version="1.0" encoding="utf-8"?>
<x:table xmlns:x="http://schemas.openxmlformats.org/spreadsheetml/2006/main" id="1" name="RegistryTable" displayName="RegistryTable" ref="A1:AF94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psTable" displayName="GapsTable" ref="A1:H13" headerRowCount="1" totalsRowCount="0" totalsRowShown="0">
  <x:tableColumns count="8">
    <x:tableColumn id="1" name="gap_id"/>
    <x:tableColumn id="2" name="tos_row_id"/>
    <x:tableColumn id="3" name="candidate_or_missing_object"/>
    <x:tableColumn id="4" name="relevance"/>
    <x:tableColumn id="5" name="why_it_matters"/>
    <x:tableColumn id="6" name="current_access_or_problem"/>
    <x:tableColumn id="7" name="targeted_follow_up"/>
    <x:tableColumn id="8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e73e0c9a7c40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792af4f23647b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2" hidden="0" customWidth="1"/>
    <x:col min="4" max="4" width="38" hidden="0" customWidth="1"/>
    <x:col min="5" max="5" width="30" hidden="0" customWidth="1"/>
    <x:col min="6" max="6" width="30" hidden="0" customWidth="1"/>
    <x:col min="7" max="7" width="17" hidden="0" customWidth="1"/>
    <x:col min="8" max="8" width="22" hidden="0" customWidth="1"/>
    <x:col min="9" max="9" width="34" hidden="0" customWidth="1"/>
    <x:col min="10" max="10" width="24" hidden="0" customWidth="1"/>
    <x:col min="11" max="11" width="26" hidden="0" customWidth="1"/>
    <x:col min="12" max="12" width="24" hidden="0" customWidth="1"/>
    <x:col min="13" max="13" width="28" hidden="0" customWidth="1"/>
    <x:col min="14" max="14" width="24" hidden="0" customWidth="1"/>
    <x:col min="15" max="15" width="23" hidden="0" customWidth="1"/>
    <x:col min="16" max="16" width="24" hidden="0" customWidth="1"/>
    <x:col min="17" max="17" width="42" hidden="0" customWidth="1"/>
    <x:col min="18" max="18" width="42" hidden="0" customWidth="1"/>
    <x:col min="19" max="19" width="28" hidden="0" customWidth="1"/>
    <x:col min="20" max="20" width="26" hidden="0" customWidth="1"/>
    <x:col min="21" max="21" width="34" hidden="0" customWidth="1"/>
    <x:col min="22" max="22" width="36" hidden="0" customWidth="1"/>
    <x:col min="23" max="23" width="38" hidden="0" customWidth="1"/>
    <x:col min="24" max="24" width="34" hidden="0" customWidth="1"/>
    <x:col min="25" max="25" width="34" hidden="0" customWidth="1"/>
    <x:col min="26" max="26" width="42" hidden="0" customWidth="1"/>
    <x:col min="27" max="27" width="40" hidden="0" customWidth="1"/>
    <x:col min="28" max="28" width="42" hidden="0" customWidth="1"/>
    <x:col min="29" max="29" width="42" hidden="0" customWidth="1"/>
    <x:col min="30" max="30" width="14" hidden="0" customWidth="1"/>
    <x:col min="31" max="31" width="16" hidden="0" customWidth="1"/>
    <x:col min="32" max="32" width="54" hidden="0" customWidth="1"/>
  </x:cols>
  <x:sheetData>
    <x:row r="1" ht="44" customHeight="1">
      <x:c r="A1" s="20" t="str">
        <x:v>record_id</x:v>
      </x:c>
      <x:c r="B1" s="21" t="str">
        <x:v>tos_row_id</x:v>
      </x:c>
      <x:c r="C1" s="21" t="str">
        <x:v>relevance</x:v>
      </x:c>
      <x:c r="D1" s="21" t="str">
        <x:v>work_or_corpus_title</x:v>
      </x:c>
      <x:c r="E1" s="21" t="str">
        <x:v>original_title_or_variant</x:v>
      </x:c>
      <x:c r="F1" s="21" t="str">
        <x:v>author_or_attribution</x:v>
      </x:c>
      <x:c r="G1" s="21" t="str">
        <x:v>original_date</x:v>
      </x:c>
      <x:c r="H1" s="21" t="str">
        <x:v>object_type</x:v>
      </x:c>
      <x:c r="I1" s="21" t="str">
        <x:v>version_edition_or_translation</x:v>
      </x:c>
      <x:c r="J1" s="21" t="str">
        <x:v>language</x:v>
      </x:c>
      <x:c r="K1" s="21" t="str">
        <x:v>translator_or_editor</x:v>
      </x:c>
      <x:c r="L1" s="21" t="str">
        <x:v>witness_or_catalog_id</x:v>
      </x:c>
      <x:c r="M1" s="21" t="str">
        <x:v>repository</x:v>
      </x:c>
      <x:c r="N1" s="21" t="str">
        <x:v>access_mode</x:v>
      </x:c>
      <x:c r="O1" s="21" t="str">
        <x:v>coverage</x:v>
      </x:c>
      <x:c r="P1" s="21" t="str">
        <x:v>formats</x:v>
      </x:c>
      <x:c r="Q1" s="21" t="str">
        <x:v>landing_url</x:v>
      </x:c>
      <x:c r="R1" s="21" t="str">
        <x:v>direct_download_url</x:v>
      </x:c>
      <x:c r="S1" s="21" t="str">
        <x:v>stable_identifier</x:v>
      </x:c>
      <x:c r="T1" s="21" t="str">
        <x:v>verification_status</x:v>
      </x:c>
      <x:c r="U1" s="21" t="str">
        <x:v>work_rights</x:v>
      </x:c>
      <x:c r="V1" s="21" t="str">
        <x:v>version_or_edition_rights</x:v>
      </x:c>
      <x:c r="W1" s="21" t="str">
        <x:v>digital_object_rights</x:v>
      </x:c>
      <x:c r="X1" s="21" t="str">
        <x:v>site_or_platform_terms</x:v>
      </x:c>
      <x:c r="Y1" s="21" t="str">
        <x:v>license_or_rights_statement</x:v>
      </x:c>
      <x:c r="Z1" s="21" t="str">
        <x:v>rights_scope</x:v>
      </x:c>
      <x:c r="AA1" s="21" t="str">
        <x:v>tos_use</x:v>
      </x:c>
      <x:c r="AB1" s="21" t="str">
        <x:v>own_translation_basis</x:v>
      </x:c>
      <x:c r="AC1" s="21" t="str">
        <x:v>rights_evidence_url</x:v>
      </x:c>
      <x:c r="AD1" s="21" t="str">
        <x:v>checked_at</x:v>
      </x:c>
      <x:c r="AE1" s="21" t="str">
        <x:v>rights_confidence</x:v>
      </x:c>
      <x:c r="AF1" s="22" t="str">
        <x:v>notes</x:v>
      </x:c>
    </x:row>
    <x:row r="2" ht="108" customHeight="1">
      <x:c r="A2" s="23" t="str">
        <x:v>A07-R001</x:v>
      </x:c>
      <x:c r="B2" s="16" t="str">
        <x:v>A07</x:v>
      </x:c>
      <x:c r="C2" s="16" t="str">
        <x:v>core</x:v>
      </x:c>
      <x:c r="D2" s="6" t="str">
        <x:v>Proto-Elamite tablets corpus</x:v>
      </x:c>
      <x:c r="E2" s="6" t="str">
        <x:v>Proto-Elamite</x:v>
      </x:c>
      <x:c r="F2" s="6" t="str">
        <x:v>Анонимные писцы; современная каталогизация CDLI</x:v>
      </x:c>
      <x:c r="G2" s="6" t="str">
        <x:v>c. 3100–2900 BCE</x:v>
      </x:c>
      <x:c r="H2" s="6" t="str">
        <x:v>corpus</x:v>
      </x:c>
      <x:c r="I2" s="6" t="str">
        <x:v>Текущий period-filtered корпус CDLI: item-level записи, транслитерации, метаданные и изображения там, где представлены</x:v>
      </x:c>
      <x:c r="J2" s="6" t="str">
        <x:v>proto-Elamite / неизвестный языковой слой</x:v>
      </x:c>
      <x:c r="K2" s="6" t="str"/>
      <x:c r="L2" s="6" t="str"/>
      <x:c r="M2" s="6" t="str">
        <x:v>Cuneiform Digital Library Initiative (CDLI)</x:v>
      </x:c>
      <x:c r="N2" s="6" t="str">
        <x:v>free_full_read; free_download</x:v>
      </x:c>
      <x:c r="O2" s="6" t="str">
        <x:v>complete_work_or_corpus</x:v>
      </x:c>
      <x:c r="P2" s="6" t="str">
        <x:v>HTML; C-ATF/JTF; JSON; CSV; TSV; JSON-LD; RDF; Turtle; изображения/line art по отдельным объектам</x:v>
      </x:c>
      <x:c r="Q2" s="44" t="str">
        <x:v>https://cdli.earth/search?layout=full&amp;period=Proto-Elamite</x:v>
      </x:c>
      <x:c r="R2" s="44" t="str"/>
      <x:c r="S2" s="44" t="str">
        <x:v>CDLI period filter: Proto-Elamite</x:v>
      </x:c>
      <x:c r="T2" s="6" t="str">
        <x:v>verified_live_in_research_pass; final availability intermittent</x:v>
      </x:c>
      <x:c r="U2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2" s="18" t="str">
        <x:v>Современные транслитерации, нормализация и научные атрибуции могут охраняться отдельно; item-level условия неоднородны.</x:v>
      </x:c>
      <x:c r="W2" s="18" t="str">
        <x:v>Метаданные, транслитерации, фотографии и line art имеют разные правообладателей и кредиты; открытая доступность не равна праву зеркалирования.</x:v>
      </x:c>
      <x:c r="X2" s="18" t="str">
        <x:v>Использовать item-level кредиты и условия CDLI; для изображений проверять каждый объект.</x:v>
      </x:c>
      <x:c r="Y2" s="18" t="str">
        <x:v>Общая открытая лицензия всего корпуса на уровне найденной страницы не подтверждена.</x:v>
      </x:c>
      <x:c r="Z2" s="18" t="str">
        <x:v>Чтение, item-level экспорт и локальная исследовательская обработка; публичное повторное размещение каждого компонента требует проверки.</x:v>
      </x:c>
      <x:c r="AA2" s="18" t="str">
        <x:v>LINK_OK; FREE_READ; FREE_DOWNLOAD; LOCAL_RESEARCH_COPY; FULLTEXT_INDEX_OK; RIGHTS_REVIEW_REQUIRED</x:v>
      </x:c>
      <x:c r="AB2" s="18" t="str">
        <x:v>Доступные транслитерации и факсимиле отдельных свидетелей; собственная работа ограничена фактически доступным слоем и не переносит права на современные изображения/редакции.</x:v>
      </x:c>
      <x:c r="AC2" s="48" t="str">
        <x:v>https://cdli.earth/terms-of-use</x:v>
      </x:c>
      <x:c r="AD2" s="18" t="str">
        <x:v>2026-09-03</x:v>
      </x:c>
      <x:c r="AE2" s="18" t="str">
        <x:v>Medium</x:v>
      </x:c>
      <x:c r="AF2" s="24" t="str">
        <x:v>В live-проходе CDLI отображалось 1 755 записей; число динамическое. Главный цифровой вход в корпус: Сузы и меньшие кластеры плато. Полный корпус по доступу не означает, что каждый объект имеет изображение или полную транслитерацию.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3" ht="108" customHeight="1">
      <x:c r="A3" s="23" t="str">
        <x:v>A07-R002</x:v>
      </x:c>
      <x:c r="B3" s="16" t="str">
        <x:v>A07</x:v>
      </x:c>
      <x:c r="C3" s="16" t="str">
        <x:v>core</x:v>
      </x:c>
      <x:c r="D3" s="6" t="str">
        <x:v>Linear Elamite inscriptions corpus</x:v>
      </x:c>
      <x:c r="E3" s="6" t="str">
        <x:v>Linear Elamite</x:v>
      </x:c>
      <x:c r="F3" s="6" t="str">
        <x:v>Анонимные писцы; современная каталогизация CDLI</x:v>
      </x:c>
      <x:c r="G3" s="6" t="str">
        <x:v>c. 2300–1900 BCE</x:v>
      </x:c>
      <x:c r="H3" s="6" t="str">
        <x:v>corpus</x:v>
      </x:c>
      <x:c r="I3" s="6" t="str">
        <x:v>Текущий period-filtered корпус CDLI: item-level записи, транслитерации, метаданные и изображения там, где представлены</x:v>
      </x:c>
      <x:c r="J3" s="6" t="str">
        <x:v>Linear Elamite; Elamite?; отдельные Akkadian anchors</x:v>
      </x:c>
      <x:c r="K3" s="6" t="str"/>
      <x:c r="L3" s="6" t="str"/>
      <x:c r="M3" s="6" t="str">
        <x:v>Cuneiform Digital Library Initiative (CDLI)</x:v>
      </x:c>
      <x:c r="N3" s="6" t="str">
        <x:v>free_full_read; free_download</x:v>
      </x:c>
      <x:c r="O3" s="6" t="str">
        <x:v>complete_work_or_corpus</x:v>
      </x:c>
      <x:c r="P3" s="6" t="str">
        <x:v>HTML; C-ATF/JTF; JSON; CSV; TSV; JSON-LD; RDF; Turtle; изображения/line art по отдельным объектам</x:v>
      </x:c>
      <x:c r="Q3" s="44" t="str">
        <x:v>https://cdli.earth/search?layout=full&amp;period=Linear+Elamite</x:v>
      </x:c>
      <x:c r="R3" s="44" t="str"/>
      <x:c r="S3" s="44" t="str">
        <x:v>CDLI period filter: Linear Elamite</x:v>
      </x:c>
      <x:c r="T3" s="6" t="str">
        <x:v>verified_live_in_research_pass; final availability intermittent</x:v>
      </x:c>
      <x:c r="U3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3" s="18" t="str">
        <x:v>Современные транслитерации, нормализация и научные атрибуции могут охраняться отдельно; item-level условия неоднородны.</x:v>
      </x:c>
      <x:c r="W3" s="18" t="str">
        <x:v>Метаданные, транслитерации, фотографии и line art имеют разные правообладателей и кредиты; открытая доступность не равна праву зеркалирования.</x:v>
      </x:c>
      <x:c r="X3" s="18" t="str">
        <x:v>Использовать item-level кредиты и условия CDLI; для изображений проверять каждый объект.</x:v>
      </x:c>
      <x:c r="Y3" s="18" t="str">
        <x:v>Общая открытая лицензия всего корпуса на уровне найденной страницы не подтверждена.</x:v>
      </x:c>
      <x:c r="Z3" s="18" t="str">
        <x:v>Чтение, item-level экспорт и локальная исследовательская обработка; публичное повторное размещение каждого компонента требует проверки.</x:v>
      </x:c>
      <x:c r="AA3" s="18" t="str">
        <x:v>LINK_OK; FREE_READ; FREE_DOWNLOAD; LOCAL_RESEARCH_COPY; FULLTEXT_INDEX_OK; RIGHTS_REVIEW_REQUIRED</x:v>
      </x:c>
      <x:c r="AB3" s="18" t="str">
        <x:v>Доступные транслитерации и факсимиле отдельных свидетелей; собственная работа ограничена фактически доступным слоем и не переносит права на современные изображения/редакции.</x:v>
      </x:c>
      <x:c r="AC3" s="48" t="str">
        <x:v>https://cdli.earth/terms-of-use</x:v>
      </x:c>
      <x:c r="AD3" s="18" t="str">
        <x:v>2026-09-03</x:v>
      </x:c>
      <x:c r="AE3" s="18" t="str">
        <x:v>Medium</x:v>
      </x:c>
      <x:c r="AF3" s="24" t="str">
        <x:v>В live-проходе CDLI отображалось 48 записей; число динамическое. Содержит Linear Elamite и связанные cuneiform anchors; состав корпуса и атрибуции меняются с переизданиями.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4" ht="108" customHeight="1">
      <x:c r="A4" s="23" t="str">
        <x:v>A07-R003</x:v>
      </x:c>
      <x:c r="B4" s="16" t="str">
        <x:v>A07</x:v>
      </x:c>
      <x:c r="C4" s="16" t="str">
        <x:v>infrastructure</x:v>
      </x:c>
      <x:c r="D4" s="6" t="str">
        <x:v>CDLI REST API and machine-readable exports</x:v>
      </x:c>
      <x:c r="E4" s="6" t="str">
        <x:v>CDLI API</x:v>
      </x:c>
      <x:c r="F4" s="6" t="str">
        <x:v>Cuneiform Digital Library Initiative</x:v>
      </x:c>
      <x:c r="G4" s="6" t="str">
        <x:v>modern infrastructure</x:v>
      </x:c>
      <x:c r="H4" s="6" t="str">
        <x:v>dataset_or_api</x:v>
      </x:c>
      <x:c r="I4" s="6" t="str">
        <x:v>REST API: metadata, linked data, bibliographies, inscriptions and tabular exports</x:v>
      </x:c>
      <x:c r="J4" s="6" t="str">
        <x:v>Multilingual metadata; C-ATF; CDLI-CoNLL; CoNLL-U</x:v>
      </x:c>
      <x:c r="K4" s="6" t="str"/>
      <x:c r="L4" s="6" t="str"/>
      <x:c r="M4" s="6" t="str">
        <x:v>CDLI</x:v>
      </x:c>
      <x:c r="N4" s="6" t="str">
        <x:v>free_full_read; free_download</x:v>
      </x:c>
      <x:c r="O4" s="6" t="str">
        <x:v>complete_work_or_corpus</x:v>
      </x:c>
      <x:c r="P4" s="6" t="str">
        <x:v>JSON; JSON-LD; RDF/XML; N-Triples; Turtle; BibTeX; CSL JSON; RIS; C-ATF; CDLI-CoNLL; CoNLL-U; CSV; TSV; XLSX</x:v>
      </x:c>
      <x:c r="Q4" s="44" t="str">
        <x:v>https://cdli.earth/docs/api</x:v>
      </x:c>
      <x:c r="R4" s="44" t="str"/>
      <x:c r="S4" s="44" t="str">
        <x:v>CDLI REST API</x:v>
      </x:c>
      <x:c r="T4" s="6" t="str">
        <x:v>verified_live_and_documentation_read</x:v>
      </x:c>
      <x:c r="U4" s="18" t="str">
        <x:v>Not applicable to an ancient work; this is access infrastructure.</x:v>
      </x:c>
      <x:c r="V4" s="18" t="str">
        <x:v>Database schemas, normalization and catalogue are modern; no blanket open data license was confirmed on the API page.</x:v>
      </x:c>
      <x:c r="W4" s="18" t="str">
        <x:v>Technical exports are available; mass redistribution of data, and especially images, requires separate review.</x:v>
      </x:c>
      <x:c r="X4" s="18" t="str">
        <x:v>CDLI Terms of Use and item-level credits.</x:v>
      </x:c>
      <x:c r="Y4" s="18" t="str">
        <x:v>No blanket data license confirmed on API documentation page.</x:v>
      </x:c>
      <x:c r="Z4" s="18" t="str">
        <x:v>Machine-readable access and local indexing; public bulk mirror not recommended without additional permission review.</x:v>
      </x:c>
      <x:c r="AA4" s="18" t="str">
        <x:v>LINK_OK; FREE_READ; FREE_DOWNLOAD; LOCAL_RESEARCH_COPY; FULLTEXT_INDEX_OK; EMBEDDINGS_OK; RIGHTS_REVIEW_REQUIRED</x:v>
      </x:c>
      <x:c r="AB4" s="18" t="str">
        <x:v>API can deliver transliterations of specific witnesses; translation eligibility depends on each underlying text and digital layer.</x:v>
      </x:c>
      <x:c r="AC4" s="48" t="str">
        <x:v>https://cdli.earth/docs/api</x:v>
      </x:c>
      <x:c r="AD4" s="18" t="str">
        <x:v>2026-09-03</x:v>
      </x:c>
      <x:c r="AE4" s="18" t="str">
        <x:v>Medium</x:v>
      </x:c>
      <x:c r="AF4" s="24" t="str">
        <x:v>Especially useful for Codex: item-level JSON plus C-ATF/CoNLL. Positive tags refer to local research processing; public bulk mirroring is not proven.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5" ht="108" customHeight="1">
      <x:c r="A5" s="23" t="str">
        <x:v>A07-R004</x:v>
      </x:c>
      <x:c r="B5" s="16" t="str">
        <x:v>A07</x:v>
      </x:c>
      <x:c r="C5" s="16" t="str">
        <x:v>infrastructure</x:v>
      </x:c>
      <x:c r="D5" s="6" t="str">
        <x:v>CDLI corpus search and sign-oriented discovery</x:v>
      </x:c>
      <x:c r="E5" s="6" t="str">
        <x:v>Search / Advanced Search / Corpus Search</x:v>
      </x:c>
      <x:c r="F5" s="6" t="str">
        <x:v>CDLI</x:v>
      </x:c>
      <x:c r="G5" s="6" t="str">
        <x:v>modern infrastructure</x:v>
      </x:c>
      <x:c r="H5" s="6" t="str">
        <x:v>digital_project_or_catalogue</x:v>
      </x:c>
      <x:c r="I5" s="6" t="str">
        <x:v>General portal for period, publication, collection, provenience and catalogue-ID discovery</x:v>
      </x:c>
      <x:c r="J5" s="6" t="str">
        <x:v>English interface; ancient-language records</x:v>
      </x:c>
      <x:c r="K5" s="6" t="str"/>
      <x:c r="L5" s="6" t="str"/>
      <x:c r="M5" s="6" t="str">
        <x:v>CDLI</x:v>
      </x:c>
      <x:c r="N5" s="6" t="str">
        <x:v>free_full_read</x:v>
      </x:c>
      <x:c r="O5" s="6" t="str">
        <x:v>complete_work_or_corpus</x:v>
      </x:c>
      <x:c r="P5" s="6" t="str">
        <x:v>HTML; export options on result/item pages</x:v>
      </x:c>
      <x:c r="Q5" s="44" t="str">
        <x:v>https://cdli.earth/search</x:v>
      </x:c>
      <x:c r="R5" s="44" t="str"/>
      <x:c r="S5" s="44" t="str">
        <x:v>CDLI Search</x:v>
      </x:c>
      <x:c r="T5" s="6" t="str">
        <x:v>verified_in_research_pass; intermittent server errors during final reopen</x:v>
      </x:c>
      <x:c r="U5" s="18" t="str">
        <x:v>Not applicable.</x:v>
      </x:c>
      <x:c r="V5" s="18" t="str">
        <x:v>Modern database.</x:v>
      </x:c>
      <x:c r="W5" s="18" t="str">
        <x:v>Mixed; item-level records and images carry separate credits.</x:v>
      </x:c>
      <x:c r="X5" s="18" t="str">
        <x:v>CDLI Terms of Use.</x:v>
      </x:c>
      <x:c r="Y5" s="18" t="str">
        <x:v>rights mixed / review required</x:v>
      </x:c>
      <x:c r="Z5" s="18" t="str">
        <x:v>Navigation and discovery of item-level objects.</x:v>
      </x:c>
      <x:c r="AA5" s="18" t="str">
        <x:v>LINK_OK; FREE_READ; METADATA_ONLY; RIGHTS_REVIEW_REQUIRED</x:v>
      </x:c>
      <x:c r="AB5" s="18" t="str">
        <x:v>Navigation only; use a concrete witness as the actual basis.</x:v>
      </x:c>
      <x:c r="AC5" s="48" t="str">
        <x:v>https://cdli.earth/terms-of-use</x:v>
      </x:c>
      <x:c r="AD5" s="18" t="str">
        <x:v>2026-09-03</x:v>
      </x:c>
      <x:c r="AE5" s="18" t="str">
        <x:v>Medium</x:v>
      </x:c>
      <x:c r="AF5" s="24" t="str">
        <x:v>Portal included once as infrastructure; item-level entries below provide concrete access.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6" ht="108" customHeight="1">
      <x:c r="A6" s="23" t="str">
        <x:v>A07-R005</x:v>
      </x:c>
      <x:c r="B6" s="16" t="str">
        <x:v>A07</x:v>
      </x:c>
      <x:c r="C6" s="16" t="str">
        <x:v>same_corpus_or_tradition</x:v>
      </x:c>
      <x:c r="D6" s="6" t="str">
        <x:v>Proto-Elamite tablets in the National Museum of Iran</x:v>
      </x:c>
      <x:c r="E6" s="6" t="str">
        <x:v>National Museum, Tehran collection filter</x:v>
      </x:c>
      <x:c r="F6" s="6" t="str">
        <x:v>Anonymous proto-Elamite scribes; CDLI cataloguers</x:v>
      </x:c>
      <x:c r="G6" s="6" t="str">
        <x:v>c. 3100–2900 BCE</x:v>
      </x:c>
      <x:c r="H6" s="6" t="str">
        <x:v>corpus</x:v>
      </x:c>
      <x:c r="I6" s="6" t="str">
        <x:v>CDLI collection-filtered subset</x:v>
      </x:c>
      <x:c r="J6" s="6" t="str">
        <x:v>proto-Elamite / unknown</x:v>
      </x:c>
      <x:c r="K6" s="6" t="str"/>
      <x:c r="L6" s="6" t="str">
        <x:v>National Museum, Tehran</x:v>
      </x:c>
      <x:c r="M6" s="6" t="str">
        <x:v>National Museum of Iran via CDLI</x:v>
      </x:c>
      <x:c r="N6" s="6" t="str">
        <x:v>free_full_read; free_download</x:v>
      </x:c>
      <x:c r="O6" s="6" t="str">
        <x:v>selected_sections</x:v>
      </x:c>
      <x:c r="P6" s="6" t="str">
        <x:v>HTML; metadata/transliteration exports; images where present</x:v>
      </x:c>
      <x:c r="Q6" s="44" t="str">
        <x:v>https://cdli.earth/search?collection=National+Museum%2C+Tehran&amp;layout=full&amp;order%5B0%5D=designation&amp;period=proto-Elamite</x:v>
      </x:c>
      <x:c r="R6" s="44" t="str"/>
      <x:c r="S6" s="44" t="str">
        <x:v>CDLI collection 1106</x:v>
      </x:c>
      <x:c r="T6" s="6" t="str">
        <x:v>verified_in_research_pass</x:v>
      </x:c>
      <x:c r="U6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6" s="18" t="str">
        <x:v>CDLI catalogue rights not separately stated.</x:v>
      </x:c>
      <x:c r="W6" s="18" t="str">
        <x:v>Museum images and CDLI data rights are component-specific.</x:v>
      </x:c>
      <x:c r="X6" s="18" t="str">
        <x:v>CDLI item credits; National Museum conditions may apply to images.</x:v>
      </x:c>
      <x:c r="Y6" s="18" t="str">
        <x:v>rights mixed / review required</x:v>
      </x:c>
      <x:c r="Z6" s="18" t="str">
        <x:v>Subset access and metadata; not a substitute for official museum item pages.</x:v>
      </x:c>
      <x:c r="AA6" s="18" t="str">
        <x:v>LINK_OK; FREE_READ; FREE_DOWNLOAD; LOCAL_RESEARCH_COPY; METADATA_ONLY; RIGHTS_REVIEW_REQUIRED</x:v>
      </x:c>
      <x:c r="AB6" s="18" t="str">
        <x:v>Available item-level transliterations; full linguistic translation is not established.</x:v>
      </x:c>
      <x:c r="AC6" s="48" t="str">
        <x:v>https://cdli.earth/terms-of-use</x:v>
      </x:c>
      <x:c r="AD6" s="18" t="str">
        <x:v>2026-09-03</x:v>
      </x:c>
      <x:c r="AE6" s="18" t="str">
        <x:v>Medium</x:v>
      </x:c>
      <x:c r="AF6" s="24" t="str">
        <x:v>Important route to the Iranian-held corpus; an official item-level National Museum catalogue remains a gap.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7" ht="108" customHeight="1">
      <x:c r="A7" s="23" t="str">
        <x:v>A07-R006</x:v>
      </x:c>
      <x:c r="B7" s="16" t="str">
        <x:v>A07</x:v>
      </x:c>
      <x:c r="C7" s="16" t="str">
        <x:v>same_corpus_or_tradition</x:v>
      </x:c>
      <x:c r="D7" s="6" t="str">
        <x:v>Tepe Yahya Proto-Elamite tablet cluster</x:v>
      </x:c>
      <x:c r="E7" s="6" t="str">
        <x:v>Yahya tablets publication group</x:v>
      </x:c>
      <x:c r="F7" s="6" t="str">
        <x:v>Anonymous Tepe Yahya scribes; modern publication team</x:v>
      </x:c>
      <x:c r="G7" s="6" t="str">
        <x:v>late 4th millennium BCE</x:v>
      </x:c>
      <x:c r="H7" s="6" t="str">
        <x:v>corpus</x:v>
      </x:c>
      <x:c r="I7" s="6" t="str">
        <x:v>CDLI publication group 5897</x:v>
      </x:c>
      <x:c r="J7" s="6" t="str">
        <x:v>proto-Elamite / unknown</x:v>
      </x:c>
      <x:c r="K7" s="6" t="str"/>
      <x:c r="L7" s="6" t="str">
        <x:v>CDLI publication 5897</x:v>
      </x:c>
      <x:c r="M7" s="6" t="str">
        <x:v>CDLI</x:v>
      </x:c>
      <x:c r="N7" s="6" t="str">
        <x:v>free_full_read; free_download</x:v>
      </x:c>
      <x:c r="O7" s="6" t="str">
        <x:v>selected_sections</x:v>
      </x:c>
      <x:c r="P7" s="6" t="str">
        <x:v>HTML; item records; transliterations; exports; images where present</x:v>
      </x:c>
      <x:c r="Q7" s="44" t="str">
        <x:v>https://cdli.earth/publications/5897</x:v>
      </x:c>
      <x:c r="R7" s="44" t="str"/>
      <x:c r="S7" s="44" t="str">
        <x:v>CDLI publication 5897</x:v>
      </x:c>
      <x:c r="T7" s="6" t="str">
        <x:v>verified_in_research_pass</x:v>
      </x:c>
      <x:c r="U7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7" s="18" t="str">
        <x:v>Modern publication/catalogue rights separate.</x:v>
      </x:c>
      <x:c r="W7" s="18" t="str">
        <x:v>Mixed item-level rights.</x:v>
      </x:c>
      <x:c r="X7" s="18" t="str">
        <x:v>CDLI Terms of Use.</x:v>
      </x:c>
      <x:c r="Y7" s="18" t="str">
        <x:v>rights mixed / review required</x:v>
      </x:c>
      <x:c r="Z7" s="18" t="str">
        <x:v>Regional cluster and linked witnesses.</x:v>
      </x:c>
      <x:c r="AA7" s="18" t="str">
        <x:v>LINK_OK; FREE_READ; FREE_DOWNLOAD; LOCAL_RESEARCH_COPY; RIGHTS_REVIEW_REQUIRED</x:v>
      </x:c>
      <x:c r="AB7" s="18" t="str">
        <x:v>Item-level visual/transliteration access; no full deciphered language.</x:v>
      </x:c>
      <x:c r="AC7" s="48" t="str">
        <x:v>https://cdli.earth/terms-of-use</x:v>
      </x:c>
      <x:c r="AD7" s="18" t="str">
        <x:v>2026-09-03</x:v>
      </x:c>
      <x:c r="AE7" s="18" t="str">
        <x:v>Medium</x:v>
      </x:c>
      <x:c r="AF7" s="24" t="str">
        <x:v>Direct evidence that the script was not confined to Susa.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8" ht="108" customHeight="1">
      <x:c r="A8" s="23" t="str">
        <x:v>A07-R007</x:v>
      </x:c>
      <x:c r="B8" s="16" t="str">
        <x:v>A07</x:v>
      </x:c>
      <x:c r="C8" s="16" t="str">
        <x:v>same_corpus_or_tradition</x:v>
      </x:c>
      <x:c r="D8" s="6" t="str">
        <x:v>Tepe Sofalin Proto-Elamite tablet cluster</x:v>
      </x:c>
      <x:c r="E8" s="6" t="str">
        <x:v>Tepe Sofalin publication group</x:v>
      </x:c>
      <x:c r="F8" s="6" t="str">
        <x:v>Anonymous Tepe Sofalin scribes; modern editors</x:v>
      </x:c>
      <x:c r="G8" s="6" t="str">
        <x:v>late 4th millennium BCE</x:v>
      </x:c>
      <x:c r="H8" s="6" t="str">
        <x:v>corpus</x:v>
      </x:c>
      <x:c r="I8" s="6" t="str">
        <x:v>CDLI publication group 1777749</x:v>
      </x:c>
      <x:c r="J8" s="6" t="str">
        <x:v>proto-Elamite / unknown</x:v>
      </x:c>
      <x:c r="K8" s="6" t="str"/>
      <x:c r="L8" s="6" t="str">
        <x:v>CDLI publication 1777749</x:v>
      </x:c>
      <x:c r="M8" s="6" t="str">
        <x:v>CDLI</x:v>
      </x:c>
      <x:c r="N8" s="6" t="str">
        <x:v>free_full_read; free_download</x:v>
      </x:c>
      <x:c r="O8" s="6" t="str">
        <x:v>selected_sections</x:v>
      </x:c>
      <x:c r="P8" s="6" t="str">
        <x:v>HTML; item records; exports; images where present</x:v>
      </x:c>
      <x:c r="Q8" s="44" t="str">
        <x:v>https://cdli.earth/publications/1777749</x:v>
      </x:c>
      <x:c r="R8" s="44" t="str"/>
      <x:c r="S8" s="44" t="str">
        <x:v>CDLI publication 1777749</x:v>
      </x:c>
      <x:c r="T8" s="6" t="str">
        <x:v>verified_in_research_pass</x:v>
      </x:c>
      <x:c r="U8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8" s="18" t="str">
        <x:v>Modern publication/catalogue rights separate.</x:v>
      </x:c>
      <x:c r="W8" s="18" t="str">
        <x:v>Mixed item-level rights.</x:v>
      </x:c>
      <x:c r="X8" s="18" t="str">
        <x:v>CDLI Terms of Use.</x:v>
      </x:c>
      <x:c r="Y8" s="18" t="str">
        <x:v>rights mixed / review required</x:v>
      </x:c>
      <x:c r="Z8" s="18" t="str">
        <x:v>Regional cluster only.</x:v>
      </x:c>
      <x:c r="AA8" s="18" t="str">
        <x:v>LINK_OK; FREE_READ; FREE_DOWNLOAD; LOCAL_RESEARCH_COPY; RIGHTS_REVIEW_REQUIRED</x:v>
      </x:c>
      <x:c r="AB8" s="18" t="str">
        <x:v>Item-level access; no full linguistic decipherment.</x:v>
      </x:c>
      <x:c r="AC8" s="48" t="str">
        <x:v>https://cdli.earth/terms-of-use</x:v>
      </x:c>
      <x:c r="AD8" s="18" t="str">
        <x:v>2026-09-03</x:v>
      </x:c>
      <x:c r="AE8" s="18" t="str">
        <x:v>Medium</x:v>
      </x:c>
      <x:c r="AF8" s="24" t="str">
        <x:v>Small but important plateau cluster; not complete coverage of all excavated material.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9" ht="108" customHeight="1">
      <x:c r="A9" s="23" t="str">
        <x:v>A07-R008</x:v>
      </x:c>
      <x:c r="B9" s="16" t="str">
        <x:v>A07</x:v>
      </x:c>
      <x:c r="C9" s="16" t="str">
        <x:v>infrastructure</x:v>
      </x:c>
      <x:c r="D9" s="6" t="str">
        <x:v>Hatamti–Linear Elamite Database</x:v>
      </x:c>
      <x:c r="E9" s="6" t="str">
        <x:v>Hatamti / OCLEI / Linear Elamite (Late Proto-Iranian) database</x:v>
      </x:c>
      <x:c r="F9" s="6" t="str">
        <x:v>François Desset, Luc Desert, Laurent Colonna d’Istria, Stéphane Polis et al.</x:v>
      </x:c>
      <x:c r="G9" s="6" t="str">
        <x:v>developed 2024–2025; ancient corpus c. 2300–1900 BCE</x:v>
      </x:c>
      <x:c r="H9" s="6" t="str">
        <x:v>digital_project_or_catalogue</x:v>
      </x:c>
      <x:c r="I9" s="6" t="str">
        <x:v>Interactive sign/allograph/token/source/document database with transliteration, transcription and translations</x:v>
      </x:c>
      <x:c r="J9" s="6" t="str">
        <x:v>Linear Elamite; Elamite/Hatamtite; English; French; Persian</x:v>
      </x:c>
      <x:c r="K9" s="6" t="str"/>
      <x:c r="L9" s="6" t="str"/>
      <x:c r="M9" s="6" t="str">
        <x:v>Université de Liège / ARC VariGraph</x:v>
      </x:c>
      <x:c r="N9" s="6" t="str">
        <x:v>free_full_read</x:v>
      </x:c>
      <x:c r="O9" s="6" t="str">
        <x:v>complete_work_or_corpus</x:v>
      </x:c>
      <x:c r="P9" s="6" t="str">
        <x:v>HTML interactive corpus; images; transliteration; transcription; translations</x:v>
      </x:c>
      <x:c r="Q9" s="44" t="str">
        <x:v>https://hatamti-elam.uliege.be/</x:v>
      </x:c>
      <x:c r="R9" s="44" t="str"/>
      <x:c r="S9" s="44" t="str">
        <x:v>Hatamti-Linear Elamite Database</x:v>
      </x:c>
      <x:c r="T9" s="6" t="str">
        <x:v>verified_live_and_about_page_read</x:v>
      </x:c>
      <x:c r="U9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9" s="18" t="str">
        <x:v>Modern decipherment, transcription and translations are protected unless explicitly licensed.</x:v>
      </x:c>
      <x:c r="W9" s="18" t="str">
        <x:v>Site credits Louvre/National Museum images separately; © 2025 database; no open corpus/data license found.</x:v>
      </x:c>
      <x:c r="X9" s="18" t="str">
        <x:v>No explicit reusable corpus license located; cite database and access date.</x:v>
      </x:c>
      <x:c r="Y9" s="18" t="str">
        <x:v>© 2025 Hatamti-Linear Elamite Database; rights_unknown for corpus reuse</x:v>
      </x:c>
      <x:c r="Z9" s="18" t="str">
        <x:v>Free online consultation; link-only for public reuse until component-level permission or license is confirmed.</x:v>
      </x:c>
      <x:c r="AA9" s="18" t="str">
        <x:v>LINK_OK; FREE_READ; LINK_ONLY; RIGHTS_REVIEW_REQUIRED</x:v>
      </x:c>
      <x:c r="AB9" s="18" t="str">
        <x:v>Visible sign sequences and source links can support independent witness-by-witness reconstruction, but the site's modern readings/translations are not a freely reusable basis.</x:v>
      </x:c>
      <x:c r="AC9" s="48" t="str">
        <x:v>https://hatamti-elam.uliege.be/doc_about</x:v>
      </x:c>
      <x:c r="AD9" s="18" t="str">
        <x:v>2026-09-03</x:v>
      </x:c>
      <x:c r="AE9" s="18" t="str">
        <x:v>High</x:v>
      </x:c>
      <x:c r="AF9" s="24" t="str">
        <x:v>About page described 45 documents in 2025 and EN/FR/FA translations. Its publication notice is stale: current official book is 2026, OrientLab Series Maior 10.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10" ht="108" customHeight="1">
      <x:c r="A10" s="23" t="str">
        <x:v>A07-R009</x:v>
      </x:c>
      <x:c r="B10" s="16" t="str">
        <x:v>A07</x:v>
      </x:c>
      <x:c r="C10" s="16" t="str">
        <x:v>secondary_navigation</x:v>
      </x:c>
      <x:c r="D10" s="6" t="str">
        <x:v>Hatamti database ORBi project record</x:v>
      </x:c>
      <x:c r="E10" s="6" t="str">
        <x:v>Hatamti - Linear Elamite database</x:v>
      </x:c>
      <x:c r="F10" s="6" t="str">
        <x:v>Université de Liège team</x:v>
      </x:c>
      <x:c r="G10" s="6" t="str">
        <x:v>2025</x:v>
      </x:c>
      <x:c r="H10" s="6" t="str">
        <x:v>secondary_navigation</x:v>
      </x:c>
      <x:c r="I10" s="6" t="str">
        <x:v>Institutional description and stable repository record</x:v>
      </x:c>
      <x:c r="J10" s="6" t="str">
        <x:v>English</x:v>
      </x:c>
      <x:c r="K10" s="6" t="str"/>
      <x:c r="L10" s="6" t="str"/>
      <x:c r="M10" s="6" t="str">
        <x:v>ORBi, Université de Liège</x:v>
      </x:c>
      <x:c r="N10" s="6" t="str">
        <x:v>free_full_read; metadata_only</x:v>
      </x:c>
      <x:c r="O10" s="6" t="str">
        <x:v>commentary_or_reference_only</x:v>
      </x:c>
      <x:c r="P10" s="6" t="str">
        <x:v>HTML; bibliographic export</x:v>
      </x:c>
      <x:c r="Q10" s="44" t="str">
        <x:v>https://orbi.uliege.be/handle/2268/333157</x:v>
      </x:c>
      <x:c r="R10" s="44" t="str"/>
      <x:c r="S10" s="44" t="str">
        <x:v>hdl:2268/333157</x:v>
      </x:c>
      <x:c r="T10" s="6" t="str">
        <x:v>verified_via_official_record</x:v>
      </x:c>
      <x:c r="U10" s="18" t="str">
        <x:v>Modern project description in copyright.</x:v>
      </x:c>
      <x:c r="V10" s="18" t="str">
        <x:v>ORBi metadata; full database remains on Hatamti site.</x:v>
      </x:c>
      <x:c r="W10" s="18" t="str">
        <x:v>Repository metadata and linked resources; no corpus license established.</x:v>
      </x:c>
      <x:c r="X10" s="18" t="str">
        <x:v>ORBi terms/user license applies to deposited files, not automatically to external database content.</x:v>
      </x:c>
      <x:c r="Y10" s="18" t="str">
        <x:v>metadata only / rights review</x:v>
      </x:c>
      <x:c r="Z10" s="18" t="str">
        <x:v>Stable discovery and citation record.</x:v>
      </x:c>
      <x:c r="AA10" s="18" t="str">
        <x:v>LINK_OK; METADATA_ONLY</x:v>
      </x:c>
      <x:c r="AB10" s="18" t="str">
        <x:v>None; navigational record.</x:v>
      </x:c>
      <x:c r="AC10" s="48" t="str">
        <x:v>https://orbi.uliege.be/page/user-license</x:v>
      </x:c>
      <x:c r="AD10" s="18" t="str">
        <x:v>2026-09-03</x:v>
      </x:c>
      <x:c r="AE10" s="18" t="str">
        <x:v>Medium</x:v>
      </x:c>
      <x:c r="AF10" s="24" t="str">
        <x:v>Useful for institutional identification of project and team.</x:v>
      </x:c>
    </x:row>
    <x:row r="11" ht="108" customHeight="1">
      <x:c r="A11" s="23" t="str">
        <x:v>A07-R010</x:v>
      </x:c>
      <x:c r="B11" s="16" t="str">
        <x:v>A07</x:v>
      </x:c>
      <x:c r="C11" s="16" t="str">
        <x:v>infrastructure</x:v>
      </x:c>
      <x:c r="D11" s="6" t="str">
        <x:v>GEAS Linear Elamite Unicode corpus and decipherment tool</x:v>
      </x:c>
      <x:c r="E11" s="6" t="str">
        <x:v>Elamicon / OCLEI in GEAS</x:v>
      </x:c>
      <x:c r="F11" s="6" t="str">
        <x:v>Alice Kober Gesellschaft / GEAS consortium</x:v>
      </x:c>
      <x:c r="G11" s="6" t="str">
        <x:v>modern tool; ancient corpus c. 2300–1900 BCE</x:v>
      </x:c>
      <x:c r="H11" s="6" t="str">
        <x:v>dataset_or_api</x:v>
      </x:c>
      <x:c r="I11" s="6" t="str">
        <x:v>Browser Unicode corpus, character picker, dynamic syllabary, regex search, frequency analysis, photos/drawings and bibliography</x:v>
      </x:c>
      <x:c r="J11" s="6" t="str">
        <x:v>Linear Elamite signs; assumed sound values; English interface</x:v>
      </x:c>
      <x:c r="K11" s="6" t="str"/>
      <x:c r="L11" s="6" t="str"/>
      <x:c r="M11" s="6" t="str">
        <x:v>Center for Decipherment / GEAS</x:v>
      </x:c>
      <x:c r="N11" s="6" t="str">
        <x:v>free_full_read</x:v>
      </x:c>
      <x:c r="O11" s="6" t="str">
        <x:v>complete_work_or_corpus</x:v>
      </x:c>
      <x:c r="P11" s="6" t="str">
        <x:v>HTML web application; Unicode text; images/drawings; copy/paste; font package separately</x:v>
      </x:c>
      <x:c r="Q11" s="44" t="str">
        <x:v>https://center-for-decipherment.ch/tool/</x:v>
      </x:c>
      <x:c r="R11" s="44" t="str"/>
      <x:c r="S11" s="44" t="str">
        <x:v>GEAS Elamicon / OCLEI</x:v>
      </x:c>
      <x:c r="T11" s="6" t="str">
        <x:v>verified_live_and_tool_description_read</x:v>
      </x:c>
      <x:c r="U11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11" s="18" t="str">
        <x:v>Modern corpus arrangement and sound-value presets; exact corpus/data license not located.</x:v>
      </x:c>
      <x:c r="W11" s="18" t="str">
        <x:v>Tool described as libre software; GEAS-Liberation font is SIL OFL, but corpus, photos and drawings have separate rights.</x:v>
      </x:c>
      <x:c r="X11" s="18" t="str">
        <x:v>Cite corpus and access date; manually review reliterator output; suspect objects can be excluded.</x:v>
      </x:c>
      <x:c r="Y11" s="18" t="str">
        <x:v>Libre software claim; SIL Open Font License for font only; corpus rights mixed/unknown</x:v>
      </x:c>
      <x:c r="Z11" s="18" t="str">
        <x:v>Free web-tool use; font license does not transfer to corpus images or data.</x:v>
      </x:c>
      <x:c r="AA11" s="18" t="str">
        <x:v>LINK_OK; FREE_READ; LOCAL_RESEARCH_COPY; FULLTEXT_INDEX_OK; EMBEDDINGS_OK; RIGHTS_REVIEW_REQUIRED</x:v>
      </x:c>
      <x:c r="AB11" s="18" t="str">
        <x:v>Unicode sign sequences may support independent analysis, but modern sound-value presets remain scholarly claims and component rights are not blanket-open.</x:v>
      </x:c>
      <x:c r="AC11" s="48" t="str">
        <x:v>https://center-for-decipherment.ch/tool-introduction/</x:v>
      </x:c>
      <x:c r="AD11" s="18" t="str">
        <x:v>2026-09-03</x:v>
      </x:c>
      <x:c r="AE11" s="18" t="str">
        <x:v>Medium</x:v>
      </x:c>
      <x:c r="AF11" s="24" t="str">
        <x:v>Do not redistribute font files. GEAS explicitly allows exclusion of suspected modern forgeries from the working corpus.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12" ht="108" customHeight="1">
      <x:c r="A12" s="23" t="str">
        <x:v>A07-R011</x:v>
      </x:c>
      <x:c r="B12" s="16" t="str">
        <x:v>A07</x:v>
      </x:c>
      <x:c r="C12" s="16" t="str">
        <x:v>secondary_navigation</x:v>
      </x:c>
      <x:c r="D12" s="6" t="str">
        <x:v>Decipherment Project: Elamite Line Script (2200 BC)</x:v>
      </x:c>
      <x:c r="E12" s="6" t="str">
        <x:v>University of Bern project page</x:v>
      </x:c>
      <x:c r="F12" s="6" t="str">
        <x:v>University of Bern project team</x:v>
      </x:c>
      <x:c r="G12" s="6" t="str">
        <x:v>modern research project</x:v>
      </x:c>
      <x:c r="H12" s="6" t="str">
        <x:v>secondary_navigation</x:v>
      </x:c>
      <x:c r="I12" s="6" t="str">
        <x:v>Official university project description</x:v>
      </x:c>
      <x:c r="J12" s="6" t="str">
        <x:v>English</x:v>
      </x:c>
      <x:c r="K12" s="6" t="str"/>
      <x:c r="L12" s="6" t="str"/>
      <x:c r="M12" s="6" t="str">
        <x:v>University of Bern</x:v>
      </x:c>
      <x:c r="N12" s="6" t="str">
        <x:v>free_full_read</x:v>
      </x:c>
      <x:c r="O12" s="6" t="str">
        <x:v>commentary_or_reference_only</x:v>
      </x:c>
      <x:c r="P12" s="6" t="str">
        <x:v>HTML</x:v>
      </x:c>
      <x:c r="Q12" s="44" t="str">
        <x:v>https://www.isw.unibe.ch/research/projekte_von_doktorierenden/decipherment_project_elamite_line_script_2200_bc/index_eng.html</x:v>
      </x:c>
      <x:c r="R12" s="44" t="str"/>
      <x:c r="S12" s="44" t="str">
        <x:v>University of Bern project page</x:v>
      </x:c>
      <x:c r="T12" s="6" t="str">
        <x:v>verified_in_research_pass</x:v>
      </x:c>
      <x:c r="U12" s="18" t="str">
        <x:v>Modern webpage in copyright.</x:v>
      </x:c>
      <x:c r="V12" s="18" t="str">
        <x:v>Not a text edition.</x:v>
      </x:c>
      <x:c r="W12" s="18" t="str">
        <x:v>Web content only.</x:v>
      </x:c>
      <x:c r="X12" s="18" t="str">
        <x:v>University website terms.</x:v>
      </x:c>
      <x:c r="Y12" s="18" t="str">
        <x:v>In Copyright</x:v>
      </x:c>
      <x:c r="Z12" s="18" t="str">
        <x:v>Link and project identification only.</x:v>
      </x:c>
      <x:c r="AA12" s="18" t="str">
        <x:v>LINK_OK; FREE_READ; LINK_ONLY</x:v>
      </x:c>
      <x:c r="AB12" s="18" t="str">
        <x:v>None.</x:v>
      </x:c>
      <x:c r="AC12" s="48" t="str">
        <x:v>https://www.unibe.ch/legal_notice/index_eng.html</x:v>
      </x:c>
      <x:c r="AD12" s="18" t="str">
        <x:v>2026-09-03</x:v>
      </x:c>
      <x:c r="AE12" s="18" t="str">
        <x:v>Medium</x:v>
      </x:c>
      <x:c r="AF12" s="24" t="str">
        <x:v>Useful for tracing current decipherment work; not a substitute for corpus or edition.</x:v>
      </x:c>
    </x:row>
    <x:row r="13" ht="108" customHeight="1">
      <x:c r="A13" s="23" t="str">
        <x:v>A07-R012</x:v>
      </x:c>
      <x:c r="B13" s="16" t="str">
        <x:v>A07</x:v>
      </x:c>
      <x:c r="C13" s="16" t="str">
        <x:v>infrastructure</x:v>
      </x:c>
      <x:c r="D13" s="6" t="str">
        <x:v>Louvre Collections database: Elamite objects, stable ARKs and JSON/CSV metadata</x:v>
      </x:c>
      <x:c r="E13" s="6" t="str">
        <x:v>Collections du Louvre</x:v>
      </x:c>
      <x:c r="F13" s="6" t="str">
        <x:v>Musée du Louvre</x:v>
      </x:c>
      <x:c r="G13" s="6" t="str">
        <x:v>modern infrastructure; ancient objects</x:v>
      </x:c>
      <x:c r="H13" s="6" t="str">
        <x:v>dataset_or_api</x:v>
      </x:c>
      <x:c r="I13" s="6" t="str">
        <x:v>Official object database with stable ARK URLs, JSON per item and CSV search export</x:v>
      </x:c>
      <x:c r="J13" s="6" t="str">
        <x:v>French/English metadata; ancient inscription languages</x:v>
      </x:c>
      <x:c r="K13" s="6" t="str"/>
      <x:c r="L13" s="6" t="str"/>
      <x:c r="M13" s="6" t="str">
        <x:v>Musée du Louvre</x:v>
      </x:c>
      <x:c r="N13" s="6" t="str">
        <x:v>free_full_read; free_download</x:v>
      </x:c>
      <x:c r="O13" s="6" t="str">
        <x:v>complete_work_or_corpus</x:v>
      </x:c>
      <x:c r="P13" s="6" t="str">
        <x:v>HTML; CSV search export; JSON item records; images; item PDFs where offered</x:v>
      </x:c>
      <x:c r="Q13" s="44" t="str">
        <x:v>https://collections.louvre.fr/en/page/apropos</x:v>
      </x:c>
      <x:c r="R13" s="44" t="str"/>
      <x:c r="S13" s="44" t="str">
        <x:v>Louvre ARK item system</x:v>
      </x:c>
      <x:c r="T13" s="6" t="str">
        <x:v>verified_live_and_rights_checked</x:v>
      </x:c>
      <x:c r="U13" s="18" t="str">
        <x:v>Ancient objects generally public domain by age.</x:v>
      </x:c>
      <x:c r="V13" s="18" t="str">
        <x:v>Textual entries under Etalab Open Licence.</x:v>
      </x:c>
      <x:c r="W13" s="18" t="str">
        <x:v>Text metadata open with attribution; photographs subject to separate Louvre/RMN conditions and credits.</x:v>
      </x:c>
      <x:c r="X13" s="18" t="str">
        <x:v>Deep linking allowed when source is clear; no framing; source/date attribution required for text data.</x:v>
      </x:c>
      <x:c r="Y13" s="18" t="str">
        <x:v>Etalab Open Licence for textual content; limited scientific/educational reuse of medium-format photos</x:v>
      </x:c>
      <x:c r="Z13" s="18" t="str">
        <x:v>Entry text/metadata may be mirrored and transformed with attribution; image use is purpose-limited and credit/permalink-dependent.</x:v>
      </x:c>
      <x:c r="AA13" s="18" t="str">
        <x:v>LINK_OK; FREE_READ; FREE_DOWNLOAD; MIRROR_WITH_ATTRIBUTION; FULLTEXT_INDEX_OK; EMBEDDINGS_OK; RIGHTS_REVIEW_REQUIRED</x:v>
      </x:c>
      <x:c r="AB13" s="18" t="str">
        <x:v>Infrastructure only; individual object photographs can support witness-level work under image-use conditions.</x:v>
      </x:c>
      <x:c r="AC13" s="48" t="str">
        <x:v>https://collections.louvre.fr/en/page/cgu</x:v>
      </x:c>
      <x:c r="AD13" s="18" t="str">
        <x:v>2026-09-03</x:v>
      </x:c>
      <x:c r="AE13" s="18" t="str">
        <x:v>High</x:v>
      </x:c>
      <x:c r="AF13" s="24" t="str">
        <x:v>Etalab applies to textual entries, not automatically to photographs or third-party bibliography.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14" ht="108" customHeight="1">
      <x:c r="A14" s="23" t="str">
        <x:v>A07-R013</x:v>
      </x:c>
      <x:c r="B14" s="16" t="str">
        <x:v>A07</x:v>
      </x:c>
      <x:c r="C14" s="16" t="str">
        <x:v>core</x:v>
      </x:c>
      <x:c r="D14" s="6" t="str">
        <x:v>Proto-Elamite administrative tablet, MDP 6, 221</x:v>
      </x:c>
      <x:c r="E14" s="6" t="str">
        <x:v>MDP 6, 221</x:v>
      </x:c>
      <x:c r="F14" s="6" t="str">
        <x:v>Анонимный писец / мастерская</x:v>
      </x:c>
      <x:c r="G14" s="6" t="str">
        <x:v>c. 3100–2900 BCE</x:v>
      </x:c>
      <x:c r="H14" s="6" t="str">
        <x:v>physical_witness</x:v>
      </x:c>
      <x:c r="I14" s="6" t="str">
        <x:v>Item-level карточка CDLI P008020</x:v>
      </x:c>
      <x:c r="J14" s="6" t="str">
        <x:v>proto-Elamite / numerical notation</x:v>
      </x:c>
      <x:c r="K14" s="6" t="str"/>
      <x:c r="L14" s="6" t="str">
        <x:v>P008020; Louvre Sb 06392</x:v>
      </x:c>
      <x:c r="M14" s="6" t="str">
        <x:v>CDLI; хранитель указан в item record</x:v>
      </x:c>
      <x:c r="N14" s="6" t="str">
        <x:v>free_full_read; free_download</x:v>
      </x:c>
      <x:c r="O14" s="6" t="str">
        <x:v>single_witness</x:v>
      </x:c>
      <x:c r="P14" s="6" t="str">
        <x:v>HTML; транслитерация; экспорт метаданных (JSON/CSV/TSV/Linked Data); изображения или line art, если показаны</x:v>
      </x:c>
      <x:c r="Q14" s="44" t="str">
        <x:v>https://cdli.earth/P008020</x:v>
      </x:c>
      <x:c r="R14" s="44" t="str"/>
      <x:c r="S14" s="44" t="str">
        <x:v>P008020</x:v>
      </x:c>
      <x:c r="T14" s="6" t="str">
        <x:v>verified_item_in_research_pass</x:v>
      </x:c>
      <x:c r="U14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14" s="18" t="str">
        <x:v>Права на современную транслитерацию/атрибуцию отдельно не установлены.</x:v>
      </x:c>
      <x:c r="W14" s="18" t="str">
        <x:v>Фотография и line art имеют отдельные кредиты/правообладателей; не считать их свободными автоматически.</x:v>
      </x:c>
      <x:c r="X14" s="18" t="str">
        <x:v>Item-level кредиты и CDLI Terms of Use.</x:v>
      </x:c>
      <x:c r="Y14" s="18" t="str">
        <x:v>rights mixed / review required</x:v>
      </x:c>
      <x:c r="Z14" s="18" t="str">
        <x:v>Один свидетель и доступные на карточке компоненты; зеркалирование не рекомендовано без component-level проверки.</x:v>
      </x:c>
      <x:c r="AA14" s="18" t="str">
        <x:v>LINK_OK; FREE_READ; FREE_DOWNLOAD; LOCAL_RESEARCH_COPY; RIGHTS_REVIEW_REQUIRED</x:v>
      </x:c>
      <x:c r="AB14" s="18" t="str">
        <x:v>Один исторический свидетель доступен визуально и/или в транслитерации; полный языковой перевод proto-Elamite не установлен, допустимы собственное описание и работа с числовым слоем.</x:v>
      </x:c>
      <x:c r="AC14" s="48" t="str">
        <x:v>https://cdli.earth/terms-of-use</x:v>
      </x:c>
      <x:c r="AD14" s="18" t="str">
        <x:v>2026-09-03</x:v>
      </x:c>
      <x:c r="AE14" s="18" t="str">
        <x:v>Medium</x:v>
      </x:c>
      <x:c r="AF14" s="24" t="str">
        <x:v>Provenience: Susa. Representative Susa tablet from the foundational MDP 6 publication; item page enables direct comparison between old edition and current catalogue.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15" ht="108" customHeight="1">
      <x:c r="A15" s="23" t="str">
        <x:v>A07-R014</x:v>
      </x:c>
      <x:c r="B15" s="16" t="str">
        <x:v>A07</x:v>
      </x:c>
      <x:c r="C15" s="16" t="str">
        <x:v>core</x:v>
      </x:c>
      <x:c r="D15" s="6" t="str">
        <x:v>Proto-Elamite administrative tablet, MDP 6, 233</x:v>
      </x:c>
      <x:c r="E15" s="6" t="str">
        <x:v>MDP 6, 233</x:v>
      </x:c>
      <x:c r="F15" s="6" t="str">
        <x:v>Анонимный писец / мастерская</x:v>
      </x:c>
      <x:c r="G15" s="6" t="str">
        <x:v>c. 3100–2900 BCE</x:v>
      </x:c>
      <x:c r="H15" s="6" t="str">
        <x:v>physical_witness</x:v>
      </x:c>
      <x:c r="I15" s="6" t="str">
        <x:v>Item-level карточка CDLI P008031</x:v>
      </x:c>
      <x:c r="J15" s="6" t="str">
        <x:v>proto-Elamite / numerical notation</x:v>
      </x:c>
      <x:c r="K15" s="6" t="str"/>
      <x:c r="L15" s="6" t="str">
        <x:v>P008031; Louvre Sb 15092</x:v>
      </x:c>
      <x:c r="M15" s="6" t="str">
        <x:v>CDLI; хранитель указан в item record</x:v>
      </x:c>
      <x:c r="N15" s="6" t="str">
        <x:v>free_full_read; free_download</x:v>
      </x:c>
      <x:c r="O15" s="6" t="str">
        <x:v>single_witness</x:v>
      </x:c>
      <x:c r="P15" s="6" t="str">
        <x:v>HTML; транслитерация; экспорт метаданных (JSON/CSV/TSV/Linked Data); изображения или line art, если показаны</x:v>
      </x:c>
      <x:c r="Q15" s="44" t="str">
        <x:v>https://cdli.earth/P008031</x:v>
      </x:c>
      <x:c r="R15" s="44" t="str"/>
      <x:c r="S15" s="44" t="str">
        <x:v>P008031</x:v>
      </x:c>
      <x:c r="T15" s="6" t="str">
        <x:v>verified_item_in_research_pass</x:v>
      </x:c>
      <x:c r="U15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15" s="18" t="str">
        <x:v>Права на современную транслитерацию/атрибуцию отдельно не установлены.</x:v>
      </x:c>
      <x:c r="W15" s="18" t="str">
        <x:v>Фотография и line art имеют отдельные кредиты/правообладателей; не считать их свободными автоматически.</x:v>
      </x:c>
      <x:c r="X15" s="18" t="str">
        <x:v>Item-level кредиты и CDLI Terms of Use.</x:v>
      </x:c>
      <x:c r="Y15" s="18" t="str">
        <x:v>rights mixed / review required</x:v>
      </x:c>
      <x:c r="Z15" s="18" t="str">
        <x:v>Один свидетель и доступные на карточке компоненты; зеркалирование не рекомендовано без component-level проверки.</x:v>
      </x:c>
      <x:c r="AA15" s="18" t="str">
        <x:v>LINK_OK; FREE_READ; FREE_DOWNLOAD; LOCAL_RESEARCH_COPY; RIGHTS_REVIEW_REQUIRED</x:v>
      </x:c>
      <x:c r="AB15" s="18" t="str">
        <x:v>Один исторический свидетель доступен визуально и/или в транслитерации; полный языковой перевод proto-Elamite не установлен, допустимы собственное описание и работа с числовым слоем.</x:v>
      </x:c>
      <x:c r="AC15" s="48" t="str">
        <x:v>https://cdli.earth/terms-of-use</x:v>
      </x:c>
      <x:c r="AD15" s="18" t="str">
        <x:v>2026-09-03</x:v>
      </x:c>
      <x:c r="AE15" s="18" t="str">
        <x:v>Medium</x:v>
      </x:c>
      <x:c r="AF15" s="24" t="str">
        <x:v>Provenience: Susa. Representative Louvre/Susa witness.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16" ht="108" customHeight="1">
      <x:c r="A16" s="23" t="str">
        <x:v>A07-R015</x:v>
      </x:c>
      <x:c r="B16" s="16" t="str">
        <x:v>A07</x:v>
      </x:c>
      <x:c r="C16" s="16" t="str">
        <x:v>core</x:v>
      </x:c>
      <x:c r="D16" s="6" t="str">
        <x:v>Proto-Elamite administrative tablet, MDP 17, 433</x:v>
      </x:c>
      <x:c r="E16" s="6" t="str">
        <x:v>MDP 17, 433</x:v>
      </x:c>
      <x:c r="F16" s="6" t="str">
        <x:v>Анонимный писец / мастерская</x:v>
      </x:c>
      <x:c r="G16" s="6" t="str">
        <x:v>c. 3100–2900 BCE</x:v>
      </x:c>
      <x:c r="H16" s="6" t="str">
        <x:v>physical_witness</x:v>
      </x:c>
      <x:c r="I16" s="6" t="str">
        <x:v>Item-level карточка CDLI P008631</x:v>
      </x:c>
      <x:c r="J16" s="6" t="str">
        <x:v>proto-Elamite / numerical notation</x:v>
      </x:c>
      <x:c r="K16" s="6" t="str"/>
      <x:c r="L16" s="6" t="str">
        <x:v>P008631; Susa tablet</x:v>
      </x:c>
      <x:c r="M16" s="6" t="str">
        <x:v>CDLI; хранитель указан в item record</x:v>
      </x:c>
      <x:c r="N16" s="6" t="str">
        <x:v>free_full_read; free_download</x:v>
      </x:c>
      <x:c r="O16" s="6" t="str">
        <x:v>single_witness</x:v>
      </x:c>
      <x:c r="P16" s="6" t="str">
        <x:v>HTML; транслитерация; экспорт метаданных (JSON/CSV/TSV/Linked Data); изображения или line art, если показаны</x:v>
      </x:c>
      <x:c r="Q16" s="44" t="str">
        <x:v>https://cdli.earth/P008631</x:v>
      </x:c>
      <x:c r="R16" s="44" t="str"/>
      <x:c r="S16" s="44" t="str">
        <x:v>P008631</x:v>
      </x:c>
      <x:c r="T16" s="6" t="str">
        <x:v>verified_item_in_research_pass</x:v>
      </x:c>
      <x:c r="U16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16" s="18" t="str">
        <x:v>Права на современную транслитерацию/атрибуцию отдельно не установлены.</x:v>
      </x:c>
      <x:c r="W16" s="18" t="str">
        <x:v>Фотография и line art имеют отдельные кредиты/правообладателей; не считать их свободными автоматически.</x:v>
      </x:c>
      <x:c r="X16" s="18" t="str">
        <x:v>Item-level кредиты и CDLI Terms of Use.</x:v>
      </x:c>
      <x:c r="Y16" s="18" t="str">
        <x:v>rights mixed / review required</x:v>
      </x:c>
      <x:c r="Z16" s="18" t="str">
        <x:v>Один свидетель и доступные на карточке компоненты; зеркалирование не рекомендовано без component-level проверки.</x:v>
      </x:c>
      <x:c r="AA16" s="18" t="str">
        <x:v>LINK_OK; FREE_READ; FREE_DOWNLOAD; LOCAL_RESEARCH_COPY; RIGHTS_REVIEW_REQUIRED</x:v>
      </x:c>
      <x:c r="AB16" s="18" t="str">
        <x:v>Один исторический свидетель доступен визуально и/или в транслитерации; полный языковой перевод proto-Elamite не установлен, допустимы собственное описание и работа с числовым слоем.</x:v>
      </x:c>
      <x:c r="AC16" s="48" t="str">
        <x:v>https://cdli.earth/terms-of-use</x:v>
      </x:c>
      <x:c r="AD16" s="18" t="str">
        <x:v>2026-09-03</x:v>
      </x:c>
      <x:c r="AE16" s="18" t="str">
        <x:v>Medium</x:v>
      </x:c>
      <x:c r="AF16" s="24" t="str">
        <x:v>Provenience: Susa. Concrete item-level access into MDP 17 while a complete legal scan of that volume was not found.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17" ht="108" customHeight="1">
      <x:c r="A17" s="23" t="str">
        <x:v>A07-R016</x:v>
      </x:c>
      <x:c r="B17" s="16" t="str">
        <x:v>A07</x:v>
      </x:c>
      <x:c r="C17" s="16" t="str">
        <x:v>core</x:v>
      </x:c>
      <x:c r="D17" s="6" t="str">
        <x:v>Proto-Elamite administrative tablet, MDP 26, 285</x:v>
      </x:c>
      <x:c r="E17" s="6" t="str">
        <x:v>MDP 26, 285</x:v>
      </x:c>
      <x:c r="F17" s="6" t="str">
        <x:v>Анонимный писец / мастерская</x:v>
      </x:c>
      <x:c r="G17" s="6" t="str">
        <x:v>c. 3100–2900 BCE</x:v>
      </x:c>
      <x:c r="H17" s="6" t="str">
        <x:v>physical_witness</x:v>
      </x:c>
      <x:c r="I17" s="6" t="str">
        <x:v>Item-level карточка CDLI P008973</x:v>
      </x:c>
      <x:c r="J17" s="6" t="str">
        <x:v>proto-Elamite / numerical notation</x:v>
      </x:c>
      <x:c r="K17" s="6" t="str"/>
      <x:c r="L17" s="6" t="str">
        <x:v>P008973; Susa tablet</x:v>
      </x:c>
      <x:c r="M17" s="6" t="str">
        <x:v>CDLI; хранитель указан в item record</x:v>
      </x:c>
      <x:c r="N17" s="6" t="str">
        <x:v>free_full_read; free_download</x:v>
      </x:c>
      <x:c r="O17" s="6" t="str">
        <x:v>single_witness</x:v>
      </x:c>
      <x:c r="P17" s="6" t="str">
        <x:v>HTML; транслитерация; экспорт метаданных (JSON/CSV/TSV/Linked Data); изображения или line art, если показаны</x:v>
      </x:c>
      <x:c r="Q17" s="44" t="str">
        <x:v>https://cdli.earth/P008973</x:v>
      </x:c>
      <x:c r="R17" s="44" t="str"/>
      <x:c r="S17" s="44" t="str">
        <x:v>P008973</x:v>
      </x:c>
      <x:c r="T17" s="6" t="str">
        <x:v>verified_item_in_research_pass</x:v>
      </x:c>
      <x:c r="U17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17" s="18" t="str">
        <x:v>Права на современную транслитерацию/атрибуцию отдельно не установлены.</x:v>
      </x:c>
      <x:c r="W17" s="18" t="str">
        <x:v>Фотография и line art имеют отдельные кредиты/правообладателей; не считать их свободными автоматически.</x:v>
      </x:c>
      <x:c r="X17" s="18" t="str">
        <x:v>Item-level кредиты и CDLI Terms of Use.</x:v>
      </x:c>
      <x:c r="Y17" s="18" t="str">
        <x:v>rights mixed / review required</x:v>
      </x:c>
      <x:c r="Z17" s="18" t="str">
        <x:v>Один свидетель и доступные на карточке компоненты; зеркалирование не рекомендовано без component-level проверки.</x:v>
      </x:c>
      <x:c r="AA17" s="18" t="str">
        <x:v>LINK_OK; FREE_READ; FREE_DOWNLOAD; LOCAL_RESEARCH_COPY; RIGHTS_REVIEW_REQUIRED</x:v>
      </x:c>
      <x:c r="AB17" s="18" t="str">
        <x:v>Один исторический свидетель доступен визуально и/или в транслитерации; полный языковой перевод proto-Elamite не установлен, допустимы собственное описание и работа с числовым слоем.</x:v>
      </x:c>
      <x:c r="AC17" s="48" t="str">
        <x:v>https://cdli.earth/terms-of-use</x:v>
      </x:c>
      <x:c r="AD17" s="18" t="str">
        <x:v>2026-09-03</x:v>
      </x:c>
      <x:c r="AE17" s="18" t="str">
        <x:v>Medium</x:v>
      </x:c>
      <x:c r="AF17" s="24" t="str">
        <x:v>Provenience: Susa. Concrete item-level access into MDP 26 while a complete legal scan of that volume was not found.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18" ht="108" customHeight="1">
      <x:c r="A18" s="23" t="str">
        <x:v>A07-R017</x:v>
      </x:c>
      <x:c r="B18" s="16" t="str">
        <x:v>A07</x:v>
      </x:c>
      <x:c r="C18" s="16" t="str">
        <x:v>core</x:v>
      </x:c>
      <x:c r="D18" s="6" t="str">
        <x:v>Proto-Elamite administrative tablet, MDP 31, 18</x:v>
      </x:c>
      <x:c r="E18" s="6" t="str">
        <x:v>MDP 31, 18</x:v>
      </x:c>
      <x:c r="F18" s="6" t="str">
        <x:v>Анонимный писец / мастерская</x:v>
      </x:c>
      <x:c r="G18" s="6" t="str">
        <x:v>c. 3100–2900 BCE</x:v>
      </x:c>
      <x:c r="H18" s="6" t="str">
        <x:v>physical_witness</x:v>
      </x:c>
      <x:c r="I18" s="6" t="str">
        <x:v>Item-level карточка CDLI P009358</x:v>
      </x:c>
      <x:c r="J18" s="6" t="str">
        <x:v>proto-Elamite / numerical notation</x:v>
      </x:c>
      <x:c r="K18" s="6" t="str"/>
      <x:c r="L18" s="6" t="str">
        <x:v>P009358; Susa tablet</x:v>
      </x:c>
      <x:c r="M18" s="6" t="str">
        <x:v>CDLI; хранитель указан в item record</x:v>
      </x:c>
      <x:c r="N18" s="6" t="str">
        <x:v>free_full_read; free_download</x:v>
      </x:c>
      <x:c r="O18" s="6" t="str">
        <x:v>single_witness</x:v>
      </x:c>
      <x:c r="P18" s="6" t="str">
        <x:v>HTML; транслитерация; экспорт метаданных (JSON/CSV/TSV/Linked Data); изображения или line art, если показаны</x:v>
      </x:c>
      <x:c r="Q18" s="44" t="str">
        <x:v>https://cdli.earth/P009358</x:v>
      </x:c>
      <x:c r="R18" s="44" t="str"/>
      <x:c r="S18" s="44" t="str">
        <x:v>P009358</x:v>
      </x:c>
      <x:c r="T18" s="6" t="str">
        <x:v>verified_item_in_research_pass</x:v>
      </x:c>
      <x:c r="U18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18" s="18" t="str">
        <x:v>Права на современную транслитерацию/атрибуцию отдельно не установлены.</x:v>
      </x:c>
      <x:c r="W18" s="18" t="str">
        <x:v>Фотография и line art имеют отдельные кредиты/правообладателей; не считать их свободными автоматически.</x:v>
      </x:c>
      <x:c r="X18" s="18" t="str">
        <x:v>Item-level кредиты и CDLI Terms of Use.</x:v>
      </x:c>
      <x:c r="Y18" s="18" t="str">
        <x:v>rights mixed / review required</x:v>
      </x:c>
      <x:c r="Z18" s="18" t="str">
        <x:v>Один свидетель и доступные на карточке компоненты; зеркалирование не рекомендовано без component-level проверки.</x:v>
      </x:c>
      <x:c r="AA18" s="18" t="str">
        <x:v>LINK_OK; FREE_READ; FREE_DOWNLOAD; LOCAL_RESEARCH_COPY; RIGHTS_REVIEW_REQUIRED</x:v>
      </x:c>
      <x:c r="AB18" s="18" t="str">
        <x:v>Один исторический свидетель доступен визуально и/или в транслитерации; полный языковой перевод proto-Elamite не установлен, допустимы собственное описание и работа с числовым слоем.</x:v>
      </x:c>
      <x:c r="AC18" s="48" t="str">
        <x:v>https://cdli.earth/terms-of-use</x:v>
      </x:c>
      <x:c r="AD18" s="18" t="str">
        <x:v>2026-09-03</x:v>
      </x:c>
      <x:c r="AE18" s="18" t="str">
        <x:v>Medium</x:v>
      </x:c>
      <x:c r="AF18" s="24" t="str">
        <x:v>Provenience: Susa. Concrete item-level access into MDP 31; full volume remains a gap.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19" ht="108" customHeight="1">
      <x:c r="A19" s="23" t="str">
        <x:v>A07-R018</x:v>
      </x:c>
      <x:c r="B19" s="16" t="str">
        <x:v>A07</x:v>
      </x:c>
      <x:c r="C19" s="16" t="str">
        <x:v>core</x:v>
      </x:c>
      <x:c r="D19" s="6" t="str">
        <x:v>Proto-Elamite administrative tablet, MDP 31, 30</x:v>
      </x:c>
      <x:c r="E19" s="6" t="str">
        <x:v>MDP 31, 30</x:v>
      </x:c>
      <x:c r="F19" s="6" t="str">
        <x:v>Анонимный писец / мастерская</x:v>
      </x:c>
      <x:c r="G19" s="6" t="str">
        <x:v>c. 3100–2900 BCE</x:v>
      </x:c>
      <x:c r="H19" s="6" t="str">
        <x:v>physical_witness</x:v>
      </x:c>
      <x:c r="I19" s="6" t="str">
        <x:v>Item-level карточка CDLI P009370</x:v>
      </x:c>
      <x:c r="J19" s="6" t="str">
        <x:v>proto-Elamite / numerical notation</x:v>
      </x:c>
      <x:c r="K19" s="6" t="str"/>
      <x:c r="L19" s="6" t="str">
        <x:v>P009370; Louvre Sb 06325</x:v>
      </x:c>
      <x:c r="M19" s="6" t="str">
        <x:v>CDLI; хранитель указан в item record</x:v>
      </x:c>
      <x:c r="N19" s="6" t="str">
        <x:v>free_full_read; free_download</x:v>
      </x:c>
      <x:c r="O19" s="6" t="str">
        <x:v>single_witness</x:v>
      </x:c>
      <x:c r="P19" s="6" t="str">
        <x:v>HTML; транслитерация; экспорт метаданных (JSON/CSV/TSV/Linked Data); изображения или line art, если показаны</x:v>
      </x:c>
      <x:c r="Q19" s="44" t="str">
        <x:v>https://cdli.earth/P009370</x:v>
      </x:c>
      <x:c r="R19" s="44" t="str"/>
      <x:c r="S19" s="44" t="str">
        <x:v>P009370</x:v>
      </x:c>
      <x:c r="T19" s="6" t="str">
        <x:v>verified_item_in_research_pass</x:v>
      </x:c>
      <x:c r="U19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19" s="18" t="str">
        <x:v>Права на современную транслитерацию/атрибуцию отдельно не установлены.</x:v>
      </x:c>
      <x:c r="W19" s="18" t="str">
        <x:v>Фотография и line art имеют отдельные кредиты/правообладателей; не считать их свободными автоматически.</x:v>
      </x:c>
      <x:c r="X19" s="18" t="str">
        <x:v>Item-level кредиты и CDLI Terms of Use.</x:v>
      </x:c>
      <x:c r="Y19" s="18" t="str">
        <x:v>rights mixed / review required</x:v>
      </x:c>
      <x:c r="Z19" s="18" t="str">
        <x:v>Один свидетель и доступные на карточке компоненты; зеркалирование не рекомендовано без component-level проверки.</x:v>
      </x:c>
      <x:c r="AA19" s="18" t="str">
        <x:v>LINK_OK; FREE_READ; FREE_DOWNLOAD; LOCAL_RESEARCH_COPY; RIGHTS_REVIEW_REQUIRED</x:v>
      </x:c>
      <x:c r="AB19" s="18" t="str">
        <x:v>Один исторический свидетель доступен визуально и/или в транслитерации; полный языковой перевод proto-Elamite не установлен, допустимы собственное описание и работа с числовым слоем.</x:v>
      </x:c>
      <x:c r="AC19" s="48" t="str">
        <x:v>https://cdli.earth/terms-of-use</x:v>
      </x:c>
      <x:c r="AD19" s="18" t="str">
        <x:v>2026-09-03</x:v>
      </x:c>
      <x:c r="AE19" s="18" t="str">
        <x:v>Medium</x:v>
      </x:c>
      <x:c r="AF19" s="24" t="str">
        <x:v>Provenience: Susa. Representative Louvre/Susa witness from MDP 31.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20" ht="108" customHeight="1">
      <x:c r="A20" s="23" t="str">
        <x:v>A07-R019</x:v>
      </x:c>
      <x:c r="B20" s="16" t="str">
        <x:v>A07</x:v>
      </x:c>
      <x:c r="C20" s="16" t="str">
        <x:v>core</x:v>
      </x:c>
      <x:c r="D20" s="6" t="str">
        <x:v>Proto-Elamite administrative tablet, TCL 32, 96</x:v>
      </x:c>
      <x:c r="E20" s="6" t="str">
        <x:v>TCL 32, 96</x:v>
      </x:c>
      <x:c r="F20" s="6" t="str">
        <x:v>Анонимный писец / мастерская</x:v>
      </x:c>
      <x:c r="G20" s="6" t="str">
        <x:v>c. 3100–2900 BCE</x:v>
      </x:c>
      <x:c r="H20" s="6" t="str">
        <x:v>physical_witness</x:v>
      </x:c>
      <x:c r="I20" s="6" t="str">
        <x:v>Item-level карточка CDLI P368577</x:v>
      </x:c>
      <x:c r="J20" s="6" t="str">
        <x:v>proto-Elamite / numerical notation</x:v>
      </x:c>
      <x:c r="K20" s="6" t="str"/>
      <x:c r="L20" s="6" t="str">
        <x:v>P368577; Louvre Sb 24483</x:v>
      </x:c>
      <x:c r="M20" s="6" t="str">
        <x:v>CDLI; хранитель указан в item record</x:v>
      </x:c>
      <x:c r="N20" s="6" t="str">
        <x:v>free_full_read; free_download</x:v>
      </x:c>
      <x:c r="O20" s="6" t="str">
        <x:v>single_witness</x:v>
      </x:c>
      <x:c r="P20" s="6" t="str">
        <x:v>HTML; транслитерация; экспорт метаданных (JSON/CSV/TSV/Linked Data); изображения или line art, если показаны</x:v>
      </x:c>
      <x:c r="Q20" s="44" t="str">
        <x:v>https://cdli.earth/P368577</x:v>
      </x:c>
      <x:c r="R20" s="44" t="str"/>
      <x:c r="S20" s="44" t="str">
        <x:v>P368577</x:v>
      </x:c>
      <x:c r="T20" s="6" t="str">
        <x:v>verified_item_in_research_pass</x:v>
      </x:c>
      <x:c r="U20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20" s="18" t="str">
        <x:v>Права на современную транслитерацию/атрибуцию отдельно не установлены.</x:v>
      </x:c>
      <x:c r="W20" s="18" t="str">
        <x:v>Фотография и line art имеют отдельные кредиты/правообладателей; не считать их свободными автоматически.</x:v>
      </x:c>
      <x:c r="X20" s="18" t="str">
        <x:v>Item-level кредиты и CDLI Terms of Use.</x:v>
      </x:c>
      <x:c r="Y20" s="18" t="str">
        <x:v>rights mixed / review required</x:v>
      </x:c>
      <x:c r="Z20" s="18" t="str">
        <x:v>Один свидетель и доступные на карточке компоненты; зеркалирование не рекомендовано без component-level проверки.</x:v>
      </x:c>
      <x:c r="AA20" s="18" t="str">
        <x:v>LINK_OK; FREE_READ; FREE_DOWNLOAD; LOCAL_RESEARCH_COPY; RIGHTS_REVIEW_REQUIRED</x:v>
      </x:c>
      <x:c r="AB20" s="18" t="str">
        <x:v>Один исторический свидетель доступен визуально и/или в транслитерации; полный языковой перевод proto-Elamite не установлен, допустимы собственное описание и работа с числовым слоем.</x:v>
      </x:c>
      <x:c r="AC20" s="48" t="str">
        <x:v>https://cdli.earth/terms-of-use</x:v>
      </x:c>
      <x:c r="AD20" s="18" t="str">
        <x:v>2026-09-03</x:v>
      </x:c>
      <x:c r="AE20" s="18" t="str">
        <x:v>Medium</x:v>
      </x:c>
      <x:c r="AF20" s="24" t="str">
        <x:v>Provenience: Susa. Concrete access into TCL 32; complete legal online scan of the volume was not found.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21" ht="108" customHeight="1">
      <x:c r="A21" s="23" t="str">
        <x:v>A07-R020</x:v>
      </x:c>
      <x:c r="B21" s="16" t="str">
        <x:v>A07</x:v>
      </x:c>
      <x:c r="C21" s="16" t="str">
        <x:v>same_corpus_or_tradition</x:v>
      </x:c>
      <x:c r="D21" s="6" t="str">
        <x:v>Tepe Yahya proto-Elamite tablet, Yahya 01</x:v>
      </x:c>
      <x:c r="E21" s="6" t="str">
        <x:v>Yahya 01</x:v>
      </x:c>
      <x:c r="F21" s="6" t="str">
        <x:v>Анонимный писец / мастерская</x:v>
      </x:c>
      <x:c r="G21" s="6" t="str">
        <x:v>late 4th millennium BCE</x:v>
      </x:c>
      <x:c r="H21" s="6" t="str">
        <x:v>physical_witness</x:v>
      </x:c>
      <x:c r="I21" s="6" t="str">
        <x:v>Item-level карточка CDLI P009525</x:v>
      </x:c>
      <x:c r="J21" s="6" t="str">
        <x:v>proto-Elamite / numerical notation</x:v>
      </x:c>
      <x:c r="K21" s="6" t="str"/>
      <x:c r="L21" s="6" t="str">
        <x:v>P009525; Tepe Yahya tablet</x:v>
      </x:c>
      <x:c r="M21" s="6" t="str">
        <x:v>CDLI; хранитель указан в item record</x:v>
      </x:c>
      <x:c r="N21" s="6" t="str">
        <x:v>free_full_read; free_download</x:v>
      </x:c>
      <x:c r="O21" s="6" t="str">
        <x:v>single_witness</x:v>
      </x:c>
      <x:c r="P21" s="6" t="str">
        <x:v>HTML; транслитерация; экспорт метаданных (JSON/CSV/TSV/Linked Data); изображения или line art, если показаны</x:v>
      </x:c>
      <x:c r="Q21" s="44" t="str">
        <x:v>https://cdli.earth/P009525</x:v>
      </x:c>
      <x:c r="R21" s="44" t="str"/>
      <x:c r="S21" s="44" t="str">
        <x:v>P009525</x:v>
      </x:c>
      <x:c r="T21" s="6" t="str">
        <x:v>verified_item_in_research_pass</x:v>
      </x:c>
      <x:c r="U21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21" s="18" t="str">
        <x:v>Права на современную транслитерацию/атрибуцию отдельно не установлены.</x:v>
      </x:c>
      <x:c r="W21" s="18" t="str">
        <x:v>Фотография и line art имеют отдельные кредиты/правообладателей; не считать их свободными автоматически.</x:v>
      </x:c>
      <x:c r="X21" s="18" t="str">
        <x:v>Item-level кредиты и CDLI Terms of Use.</x:v>
      </x:c>
      <x:c r="Y21" s="18" t="str">
        <x:v>rights mixed / review required</x:v>
      </x:c>
      <x:c r="Z21" s="18" t="str">
        <x:v>Один свидетель и доступные на карточке компоненты; зеркалирование не рекомендовано без component-level проверки.</x:v>
      </x:c>
      <x:c r="AA21" s="18" t="str">
        <x:v>LINK_OK; FREE_READ; FREE_DOWNLOAD; LOCAL_RESEARCH_COPY; RIGHTS_REVIEW_REQUIRED</x:v>
      </x:c>
      <x:c r="AB21" s="18" t="str">
        <x:v>Один исторический свидетель доступен визуально и/или в транслитерации; полный языковой перевод proto-Elamite не установлен, допустимы собственное описание и работа с числовым слоем.</x:v>
      </x:c>
      <x:c r="AC21" s="48" t="str">
        <x:v>https://cdli.earth/terms-of-use</x:v>
      </x:c>
      <x:c r="AD21" s="18" t="str">
        <x:v>2026-09-03</x:v>
      </x:c>
      <x:c r="AE21" s="18" t="str">
        <x:v>Medium</x:v>
      </x:c>
      <x:c r="AF21" s="24" t="str">
        <x:v>Provenience: Tepe Yahya. Regional eastern Iranian witness central to the question of spread beyond Susa.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22" ht="108" customHeight="1">
      <x:c r="A22" s="23" t="str">
        <x:v>A07-R021</x:v>
      </x:c>
      <x:c r="B22" s="16" t="str">
        <x:v>A07</x:v>
      </x:c>
      <x:c r="C22" s="16" t="str">
        <x:v>same_corpus_or_tradition</x:v>
      </x:c>
      <x:c r="D22" s="6" t="str">
        <x:v>Tepe Sofalin proto-Elamite tablet, TSF 002</x:v>
      </x:c>
      <x:c r="E22" s="6" t="str">
        <x:v>TSF 002</x:v>
      </x:c>
      <x:c r="F22" s="6" t="str">
        <x:v>Анонимный писец / мастерская</x:v>
      </x:c>
      <x:c r="G22" s="6" t="str">
        <x:v>late 4th millennium BCE</x:v>
      </x:c>
      <x:c r="H22" s="6" t="str">
        <x:v>physical_witness</x:v>
      </x:c>
      <x:c r="I22" s="6" t="str">
        <x:v>Item-level карточка CDLI P393080</x:v>
      </x:c>
      <x:c r="J22" s="6" t="str">
        <x:v>proto-Elamite / numerical notation</x:v>
      </x:c>
      <x:c r="K22" s="6" t="str"/>
      <x:c r="L22" s="6" t="str">
        <x:v>P393080; Tepe Sofalin tablet</x:v>
      </x:c>
      <x:c r="M22" s="6" t="str">
        <x:v>CDLI; хранитель указан в item record</x:v>
      </x:c>
      <x:c r="N22" s="6" t="str">
        <x:v>free_full_read; free_download</x:v>
      </x:c>
      <x:c r="O22" s="6" t="str">
        <x:v>single_witness</x:v>
      </x:c>
      <x:c r="P22" s="6" t="str">
        <x:v>HTML; транслитерация; экспорт метаданных (JSON/CSV/TSV/Linked Data); изображения или line art, если показаны</x:v>
      </x:c>
      <x:c r="Q22" s="44" t="str">
        <x:v>https://cdli.earth/P393080</x:v>
      </x:c>
      <x:c r="R22" s="44" t="str"/>
      <x:c r="S22" s="44" t="str">
        <x:v>P393080</x:v>
      </x:c>
      <x:c r="T22" s="6" t="str">
        <x:v>verified_item_in_research_pass</x:v>
      </x:c>
      <x:c r="U22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22" s="18" t="str">
        <x:v>Права на современную транслитерацию/атрибуцию отдельно не установлены.</x:v>
      </x:c>
      <x:c r="W22" s="18" t="str">
        <x:v>Фотография и line art имеют отдельные кредиты/правообладателей; не считать их свободными автоматически.</x:v>
      </x:c>
      <x:c r="X22" s="18" t="str">
        <x:v>Item-level кредиты и CDLI Terms of Use.</x:v>
      </x:c>
      <x:c r="Y22" s="18" t="str">
        <x:v>rights mixed / review required</x:v>
      </x:c>
      <x:c r="Z22" s="18" t="str">
        <x:v>Один свидетель и доступные на карточке компоненты; зеркалирование не рекомендовано без component-level проверки.</x:v>
      </x:c>
      <x:c r="AA22" s="18" t="str">
        <x:v>LINK_OK; FREE_READ; FREE_DOWNLOAD; LOCAL_RESEARCH_COPY; RIGHTS_REVIEW_REQUIRED</x:v>
      </x:c>
      <x:c r="AB22" s="18" t="str">
        <x:v>Один исторический свидетель доступен визуально и/или в транслитерации; полный языковой перевод proto-Elamite не установлен, допустимы собственное описание и работа с числовым слоем.</x:v>
      </x:c>
      <x:c r="AC22" s="48" t="str">
        <x:v>https://cdli.earth/terms-of-use</x:v>
      </x:c>
      <x:c r="AD22" s="18" t="str">
        <x:v>2026-09-03</x:v>
      </x:c>
      <x:c r="AE22" s="18" t="str">
        <x:v>Medium</x:v>
      </x:c>
      <x:c r="AF22" s="24" t="str">
        <x:v>Provenience: Tepe Sofalin. Regional plateau witness.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23" ht="108" customHeight="1">
      <x:c r="A23" s="23" t="str">
        <x:v>A07-R022</x:v>
      </x:c>
      <x:c r="B23" s="16" t="str">
        <x:v>A07</x:v>
      </x:c>
      <x:c r="C23" s="16" t="str">
        <x:v>same_corpus_or_tradition</x:v>
      </x:c>
      <x:c r="D23" s="6" t="str">
        <x:v>Malyan/Anshan proto-Elamite tablet, excavation M-1153</x:v>
      </x:c>
      <x:c r="E23" s="6" t="str">
        <x:v>M-1153</x:v>
      </x:c>
      <x:c r="F23" s="6" t="str">
        <x:v>Анонимный писец / мастерская</x:v>
      </x:c>
      <x:c r="G23" s="6" t="str">
        <x:v>late 4th millennium BCE</x:v>
      </x:c>
      <x:c r="H23" s="6" t="str">
        <x:v>physical_witness</x:v>
      </x:c>
      <x:c r="I23" s="6" t="str">
        <x:v>Item-level карточка CDLI P009464</x:v>
      </x:c>
      <x:c r="J23" s="6" t="str">
        <x:v>proto-Elamite / numerical notation</x:v>
      </x:c>
      <x:c r="K23" s="6" t="str"/>
      <x:c r="L23" s="6" t="str">
        <x:v>P009464; National Museum of Iran; excavation M-1153</x:v>
      </x:c>
      <x:c r="M23" s="6" t="str">
        <x:v>CDLI; хранитель указан в item record</x:v>
      </x:c>
      <x:c r="N23" s="6" t="str">
        <x:v>free_full_read; free_download</x:v>
      </x:c>
      <x:c r="O23" s="6" t="str">
        <x:v>single_witness</x:v>
      </x:c>
      <x:c r="P23" s="6" t="str">
        <x:v>HTML; транслитерация; экспорт метаданных (JSON/CSV/TSV/Linked Data); изображения или line art, если показаны</x:v>
      </x:c>
      <x:c r="Q23" s="44" t="str">
        <x:v>https://cdli.earth/P009464</x:v>
      </x:c>
      <x:c r="R23" s="44" t="str"/>
      <x:c r="S23" s="44" t="str">
        <x:v>P009464</x:v>
      </x:c>
      <x:c r="T23" s="6" t="str">
        <x:v>verified_item_in_research_pass</x:v>
      </x:c>
      <x:c r="U23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23" s="18" t="str">
        <x:v>Права на современную транслитерацию/атрибуцию отдельно не установлены.</x:v>
      </x:c>
      <x:c r="W23" s="18" t="str">
        <x:v>Фотография и line art имеют отдельные кредиты/правообладателей; не считать их свободными автоматически.</x:v>
      </x:c>
      <x:c r="X23" s="18" t="str">
        <x:v>Item-level кредиты и CDLI Terms of Use.</x:v>
      </x:c>
      <x:c r="Y23" s="18" t="str">
        <x:v>rights mixed / review required</x:v>
      </x:c>
      <x:c r="Z23" s="18" t="str">
        <x:v>Один свидетель и доступные на карточке компоненты; зеркалирование не рекомендовано без component-level проверки.</x:v>
      </x:c>
      <x:c r="AA23" s="18" t="str">
        <x:v>LINK_OK; FREE_READ; FREE_DOWNLOAD; LOCAL_RESEARCH_COPY; RIGHTS_REVIEW_REQUIRED</x:v>
      </x:c>
      <x:c r="AB23" s="18" t="str">
        <x:v>Один исторический свидетель доступен визуально и/или в транслитерации; полный языковой перевод proto-Elamite не установлен, допустимы собственное описание и работа с числовым слоем.</x:v>
      </x:c>
      <x:c r="AC23" s="48" t="str">
        <x:v>https://cdli.earth/terms-of-use</x:v>
      </x:c>
      <x:c r="AD23" s="18" t="str">
        <x:v>2026-09-03</x:v>
      </x:c>
      <x:c r="AE23" s="18" t="str">
        <x:v>Medium</x:v>
      </x:c>
      <x:c r="AF23" s="24" t="str">
        <x:v>Provenience: Tall-i Malyan / Anshan. Important Anshan/Malyan witness linking administrative writing to the highland centre.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24" ht="108" customHeight="1">
      <x:c r="A24" s="23" t="str">
        <x:v>A07-R023</x:v>
      </x:c>
      <x:c r="B24" s="16" t="str">
        <x:v>A07</x:v>
      </x:c>
      <x:c r="C24" s="16" t="str">
        <x:v>core</x:v>
      </x:c>
      <x:c r="D24" s="6" t="str">
        <x:v>Proto-Elamite tablet, MDP 6, 5242</x:v>
      </x:c>
      <x:c r="E24" s="6" t="str">
        <x:v>MDP 6, 5242</x:v>
      </x:c>
      <x:c r="F24" s="6" t="str">
        <x:v>Анонимный писец / мастерская</x:v>
      </x:c>
      <x:c r="G24" s="6" t="str">
        <x:v>c. 3100–2900 BCE</x:v>
      </x:c>
      <x:c r="H24" s="6" t="str">
        <x:v>physical_witness</x:v>
      </x:c>
      <x:c r="I24" s="6" t="str">
        <x:v>Item-level карточка CDLI P272825</x:v>
      </x:c>
      <x:c r="J24" s="6" t="str">
        <x:v>proto-Elamite / numerical notation</x:v>
      </x:c>
      <x:c r="K24" s="6" t="str"/>
      <x:c r="L24" s="6" t="str">
        <x:v>P272825; Louvre Sb 02801</x:v>
      </x:c>
      <x:c r="M24" s="6" t="str">
        <x:v>CDLI; хранитель указан в item record</x:v>
      </x:c>
      <x:c r="N24" s="6" t="str">
        <x:v>free_full_read; free_download</x:v>
      </x:c>
      <x:c r="O24" s="6" t="str">
        <x:v>single_witness</x:v>
      </x:c>
      <x:c r="P24" s="6" t="str">
        <x:v>HTML; транслитерация; экспорт метаданных (JSON/CSV/TSV/Linked Data); изображения или line art, если показаны</x:v>
      </x:c>
      <x:c r="Q24" s="44" t="str">
        <x:v>https://cdli.earth/P272825</x:v>
      </x:c>
      <x:c r="R24" s="44" t="str"/>
      <x:c r="S24" s="44" t="str">
        <x:v>P272825</x:v>
      </x:c>
      <x:c r="T24" s="6" t="str">
        <x:v>verified_item_in_research_pass</x:v>
      </x:c>
      <x:c r="U24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24" s="18" t="str">
        <x:v>Права на современную транслитерацию/атрибуцию отдельно не установлены.</x:v>
      </x:c>
      <x:c r="W24" s="18" t="str">
        <x:v>Фотография и line art имеют отдельные кредиты/правообладателей; не считать их свободными автоматически.</x:v>
      </x:c>
      <x:c r="X24" s="18" t="str">
        <x:v>Item-level кредиты и CDLI Terms of Use.</x:v>
      </x:c>
      <x:c r="Y24" s="18" t="str">
        <x:v>rights mixed / review required</x:v>
      </x:c>
      <x:c r="Z24" s="18" t="str">
        <x:v>Один свидетель и доступные на карточке компоненты; зеркалирование не рекомендовано без component-level проверки.</x:v>
      </x:c>
      <x:c r="AA24" s="18" t="str">
        <x:v>LINK_OK; FREE_READ; FREE_DOWNLOAD; LOCAL_RESEARCH_COPY; RIGHTS_REVIEW_REQUIRED</x:v>
      </x:c>
      <x:c r="AB24" s="18" t="str">
        <x:v>Один исторический свидетель доступен визуально и/или в транслитерации; полный языковой перевод proto-Elamite не установлен, допустимы собственное описание и работа с числовым слоем.</x:v>
      </x:c>
      <x:c r="AC24" s="48" t="str">
        <x:v>https://cdli.earth/terms-of-use</x:v>
      </x:c>
      <x:c r="AD24" s="18" t="str">
        <x:v>2026-09-03</x:v>
      </x:c>
      <x:c r="AE24" s="18" t="str">
        <x:v>Medium</x:v>
      </x:c>
      <x:c r="AF24" s="24" t="str">
        <x:v>Provenience: Susa. Additional MDP 6 witness; useful for checking the old printed plate against digital metadata.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25" ht="108" customHeight="1">
      <x:c r="A25" s="23" t="str">
        <x:v>A07-R024</x:v>
      </x:c>
      <x:c r="B25" s="16" t="str">
        <x:v>A07</x:v>
      </x:c>
      <x:c r="C25" s="16" t="str">
        <x:v>same_corpus_or_tradition</x:v>
      </x:c>
      <x:c r="D25" s="6" t="str">
        <x:v>Proto-Elamite tablets from Tepe Sialk</x:v>
      </x:c>
      <x:c r="E25" s="6" t="str">
        <x:v>Sialk IV proto-Elamite material</x:v>
      </x:c>
      <x:c r="F25" s="6" t="str">
        <x:v>Anonymous Sialk scribes</x:v>
      </x:c>
      <x:c r="G25" s="6" t="str">
        <x:v>late 4th millennium BCE</x:v>
      </x:c>
      <x:c r="H25" s="6" t="str">
        <x:v>corpus</x:v>
      </x:c>
      <x:c r="I25" s="6" t="str">
        <x:v>CDLI discovery route and published archaeological corpus; no complete item-level set verified in this pass</x:v>
      </x:c>
      <x:c r="J25" s="6" t="str">
        <x:v>proto-Elamite / unknown</x:v>
      </x:c>
      <x:c r="K25" s="6" t="str"/>
      <x:c r="L25" s="6" t="str">
        <x:v>Tepe Sialk corpus</x:v>
      </x:c>
      <x:c r="M25" s="6" t="str">
        <x:v>CDLI and archaeological publications</x:v>
      </x:c>
      <x:c r="N25" s="6" t="str">
        <x:v>metadata_only</x:v>
      </x:c>
      <x:c r="O25" s="6" t="str">
        <x:v>unknown</x:v>
      </x:c>
      <x:c r="P25" s="6" t="str">
        <x:v>Catalogue metadata; scattered item records/plates</x:v>
      </x:c>
      <x:c r="Q25" s="44" t="str">
        <x:v>https://cdli.earth/search?layout=full&amp;period=Proto-Elamite&amp;provenience=Tepe+Sialk</x:v>
      </x:c>
      <x:c r="R25" s="44" t="str"/>
      <x:c r="S25" s="44" t="str">
        <x:v>Tepe Sialk proto-Elamite corpus</x:v>
      </x:c>
      <x:c r="T25" s="6" t="str">
        <x:v>partially_verified; targeted item-level follow-up needed</x:v>
      </x:c>
      <x:c r="U25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25" s="18" t="str">
        <x:v>Modern editions and archaeological plates may be protected.</x:v>
      </x:c>
      <x:c r="W25" s="18" t="str">
        <x:v>Component-level rights unknown.</x:v>
      </x:c>
      <x:c r="X25" s="18" t="str">
        <x:v>CDLI/item-level and publication terms.</x:v>
      </x:c>
      <x:c r="Y25" s="18" t="str">
        <x:v>rights_unknown</x:v>
      </x:c>
      <x:c r="Z25" s="18" t="str">
        <x:v>Navigation to a regional corpus; no claim of complete digital coverage.</x:v>
      </x:c>
      <x:c r="AA25" s="18" t="str">
        <x:v>LINK_OK; METADATA_ONLY; RIGHTS_REVIEW_REQUIRED</x:v>
      </x:c>
      <x:c r="AB25" s="18" t="str">
        <x:v>Basis not established at corpus level; requires specific witness facsimile/transliteration.</x:v>
      </x:c>
      <x:c r="AC25" s="48" t="str">
        <x:v>https://cdli.earth/terms-of-use</x:v>
      </x:c>
      <x:c r="AD25" s="18" t="str">
        <x:v>2026-09-03</x:v>
      </x:c>
      <x:c r="AE25" s="18" t="str">
        <x:v>Medium</x:v>
      </x:c>
      <x:c r="AF25" s="24" t="str">
        <x:v>Included because Sialk is a direct member of the proto-Elamite distribution, not merely a thematic neighbour.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26" ht="108" customHeight="1">
      <x:c r="A26" s="23" t="str">
        <x:v>A07-R025</x:v>
      </x:c>
      <x:c r="B26" s="16" t="str">
        <x:v>A07</x:v>
      </x:c>
      <x:c r="C26" s="16" t="str">
        <x:v>core</x:v>
      </x:c>
      <x:c r="D26" s="6" t="str">
        <x:v>Table au Lion with Linear Elamite inscription</x:v>
      </x:c>
      <x:c r="E26" s="6" t="str">
        <x:v>Table au Lion / Lion Table / LE A</x:v>
      </x:c>
      <x:c r="F26" s="6" t="str">
        <x:v>Пузур-Иншушинак / царская или культовая мастерская</x:v>
      </x:c>
      <x:c r="G26" s="6" t="str">
        <x:v>late 3rd millennium BCE</x:v>
      </x:c>
      <x:c r="H26" s="6" t="str">
        <x:v>physical_witness</x:v>
      </x:c>
      <x:c r="I26" s="6" t="str">
        <x:v>Официальная музейная карточка с фотографиями, библиографией и современным описанием</x:v>
      </x:c>
      <x:c r="J26" s="6" t="str">
        <x:v>Linear Elamite</x:v>
      </x:c>
      <x:c r="K26" s="6" t="str"/>
      <x:c r="L26" s="6" t="str">
        <x:v>SB 17; LEI 1/A</x:v>
      </x:c>
      <x:c r="M26" s="6" t="str">
        <x:v>Musée du Louvre, Département des Antiquités orientales</x:v>
      </x:c>
      <x:c r="N26" s="6" t="str">
        <x:v>free_full_read; free_download</x:v>
      </x:c>
      <x:c r="O26" s="6" t="str">
        <x:v>single_witness</x:v>
      </x:c>
      <x:c r="P26" s="6" t="str">
        <x:v>HTML; medium-format images; item PDF where offered; JSON metadata</x:v>
      </x:c>
      <x:c r="Q26" s="44" t="str">
        <x:v>https://collections.louvre.fr/en/ark:/53355/cl010174448</x:v>
      </x:c>
      <x:c r="R26" s="44" t="str">
        <x:v>https://collections.louvre.fr/en/ark:/53355/cl010174448.json</x:v>
      </x:c>
      <x:c r="S26" s="44" t="str">
        <x:v>ark:/53355/cl010174448</x:v>
      </x:c>
      <x:c r="T26" s="6" t="str">
        <x:v>verified_live_and_rights_checked</x:v>
      </x:c>
      <x:c r="U26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26" s="18" t="str">
        <x:v>Современное описание и перевод карточки — текстовые данные Louvre под Etalab Open Licence; научный аппарат сторонних публикаций не включён.</x:v>
      </x:c>
      <x:c r="W26" s="18" t="str">
        <x:v>Текстовые метаданные — Etalab; medium-format фотографии разрешены бесплатно лишь для перечисленных научных/образовательных и иных целей с кредитом и permalink; прочие использования требуют разрешения.</x:v>
      </x:c>
      <x:c r="X26" s="18" t="str">
        <x:v>Глубокие ссылки допускаются при ясном указании источника; не встраивать страницу как собственную.</x:v>
      </x:c>
      <x:c r="Y26" s="18" t="str">
        <x:v>Etalab Open Licence for entry text; Louvre Terms of Use art. 4.1.1.2 for photographs</x:v>
      </x:c>
      <x:c r="Z26" s="18" t="str">
        <x:v>Метаданные можно повторно использовать с атрибуцией. Фотографии — только в разрешённых научных/образовательных сценариях, с кредитом и permalink; это не общий MIRROR_OK.</x:v>
      </x:c>
      <x:c r="AA26" s="18" t="str">
        <x:v>LINK_OK; FREE_READ; FREE_DOWNLOAD; LOCAL_RESEARCH_COPY; OCR_OK; MIRROR_NONCOMMERCIAL; RIGHTS_REVIEW_REQUIRED; OWN_TRANSLATION_POSSIBLE</x:v>
      </x:c>
      <x:c r="AB26" s="18" t="str">
        <x:v>Древняя надпись и доступное музейное факсимиле одного свидетеля; самостоятельный перевод возможен только в пределах видимого текста, независимо от защищённого современного перевода и с оговоркой о спорности Linear Elamite.</x:v>
      </x:c>
      <x:c r="AC26" s="48" t="str">
        <x:v>https://collections.louvre.fr/en/page/cgu</x:v>
      </x:c>
      <x:c r="AD26" s="18" t="str">
        <x:v>2026-09-03</x:v>
      </x:c>
      <x:c r="AE26" s="18" t="str">
        <x:v>High</x:v>
      </x:c>
      <x:c r="AF26" s="24" t="str">
        <x:v>Key Susa monument and a central anchor of the Linear Elamite corpus; official page provides ten images and current bibliography.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27" ht="108" customHeight="1">
      <x:c r="A27" s="23" t="str">
        <x:v>A07-R026</x:v>
      </x:c>
      <x:c r="B27" s="16" t="str">
        <x:v>A07</x:v>
      </x:c>
      <x:c r="C27" s="16" t="str">
        <x:v>core</x:v>
      </x:c>
      <x:c r="D27" s="6" t="str">
        <x:v>Statue of the goddess Narundi with bilingual inscriptions</x:v>
      </x:c>
      <x:c r="E27" s="6" t="str">
        <x:v>Statue de la déesse Narundi</x:v>
      </x:c>
      <x:c r="F27" s="6" t="str">
        <x:v>Пузур-Иншушинак / царская или культовая мастерская</x:v>
      </x:c>
      <x:c r="G27" s="6" t="str">
        <x:v>c. 2100 BCE</x:v>
      </x:c>
      <x:c r="H27" s="6" t="str">
        <x:v>physical_witness</x:v>
      </x:c>
      <x:c r="I27" s="6" t="str">
        <x:v>Официальная музейная карточка с фотографиями, библиографией и современным описанием</x:v>
      </x:c>
      <x:c r="J27" s="6" t="str">
        <x:v>Akkadian cuneiform; Linear Elamite</x:v>
      </x:c>
      <x:c r="K27" s="6" t="str"/>
      <x:c r="L27" s="6" t="str">
        <x:v>SB 54; LEI 9/I</x:v>
      </x:c>
      <x:c r="M27" s="6" t="str">
        <x:v>Musée du Louvre, Département des Antiquités orientales</x:v>
      </x:c>
      <x:c r="N27" s="6" t="str">
        <x:v>free_full_read; free_download</x:v>
      </x:c>
      <x:c r="O27" s="6" t="str">
        <x:v>single_witness</x:v>
      </x:c>
      <x:c r="P27" s="6" t="str">
        <x:v>HTML; medium-format images; item PDF where offered; JSON metadata</x:v>
      </x:c>
      <x:c r="Q27" s="44" t="str">
        <x:v>https://collections.louvre.fr/en/ark:/53355/cl010174482</x:v>
      </x:c>
      <x:c r="R27" s="44" t="str">
        <x:v>https://collections.louvre.fr/en/ark:/53355/cl010174482.json</x:v>
      </x:c>
      <x:c r="S27" s="44" t="str">
        <x:v>ark:/53355/cl010174482</x:v>
      </x:c>
      <x:c r="T27" s="6" t="str">
        <x:v>verified_live_and_rights_checked</x:v>
      </x:c>
      <x:c r="U27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27" s="18" t="str">
        <x:v>Современное описание и перевод карточки — текстовые данные Louvre под Etalab Open Licence; научный аппарат сторонних публикаций не включён.</x:v>
      </x:c>
      <x:c r="W27" s="18" t="str">
        <x:v>Текстовые метаданные — Etalab; medium-format фотографии разрешены бесплатно лишь для перечисленных научных/образовательных и иных целей с кредитом и permalink; прочие использования требуют разрешения.</x:v>
      </x:c>
      <x:c r="X27" s="18" t="str">
        <x:v>Глубокие ссылки допускаются при ясном указании источника; не встраивать страницу как собственную.</x:v>
      </x:c>
      <x:c r="Y27" s="18" t="str">
        <x:v>Etalab Open Licence for entry text; Louvre Terms of Use art. 4.1.1.2 for photographs</x:v>
      </x:c>
      <x:c r="Z27" s="18" t="str">
        <x:v>Метаданные можно повторно использовать с атрибуцией. Фотографии — только в разрешённых научных/образовательных сценариях, с кредитом и permalink; это не общий MIRROR_OK.</x:v>
      </x:c>
      <x:c r="AA27" s="18" t="str">
        <x:v>LINK_OK; FREE_READ; FREE_DOWNLOAD; LOCAL_RESEARCH_COPY; OCR_OK; MIRROR_NONCOMMERCIAL; RIGHTS_REVIEW_REQUIRED; OWN_TRANSLATION_POSSIBLE</x:v>
      </x:c>
      <x:c r="AB27" s="18" t="str">
        <x:v>Древняя надпись и доступное музейное факсимиле одного свидетеля; самостоятельный перевод возможен только в пределах видимого текста, независимо от защищённого современного перевода и с оговоркой о спорности Linear Elamite.</x:v>
      </x:c>
      <x:c r="AC27" s="48" t="str">
        <x:v>https://collections.louvre.fr/en/page/cgu</x:v>
      </x:c>
      <x:c r="AD27" s="18" t="str">
        <x:v>2026-09-03</x:v>
      </x:c>
      <x:c r="AE27" s="18" t="str">
        <x:v>High</x:v>
      </x:c>
      <x:c r="AF27" s="24" t="str">
        <x:v>One of the strongest cross-script anchors: Akkadian and Linear Elamite inscriptions on the same monument.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28" ht="108" customHeight="1">
      <x:c r="A28" s="23" t="str">
        <x:v>A07-R027</x:v>
      </x:c>
      <x:c r="B28" s="16" t="str">
        <x:v>A07</x:v>
      </x:c>
      <x:c r="C28" s="16" t="str">
        <x:v>core</x:v>
      </x:c>
      <x:c r="D28" s="6" t="str">
        <x:v>Linear Elamite inscribed object SB 139</x:v>
      </x:c>
      <x:c r="E28" s="6" t="str">
        <x:v>LEI 7/G</x:v>
      </x:c>
      <x:c r="F28" s="6" t="str">
        <x:v>Пузур-Иншушинак / царская или культовая мастерская</x:v>
      </x:c>
      <x:c r="G28" s="6" t="str">
        <x:v>late 3rd millennium BCE</x:v>
      </x:c>
      <x:c r="H28" s="6" t="str">
        <x:v>physical_witness</x:v>
      </x:c>
      <x:c r="I28" s="6" t="str">
        <x:v>Официальная музейная карточка с фотографиями, библиографией и современным описанием</x:v>
      </x:c>
      <x:c r="J28" s="6" t="str">
        <x:v>Linear Elamite</x:v>
      </x:c>
      <x:c r="K28" s="6" t="str"/>
      <x:c r="L28" s="6" t="str">
        <x:v>SB 139; LEI 7/G</x:v>
      </x:c>
      <x:c r="M28" s="6" t="str">
        <x:v>Musée du Louvre, Département des Antiquités orientales</x:v>
      </x:c>
      <x:c r="N28" s="6" t="str">
        <x:v>free_full_read; free_download</x:v>
      </x:c>
      <x:c r="O28" s="6" t="str">
        <x:v>single_witness</x:v>
      </x:c>
      <x:c r="P28" s="6" t="str">
        <x:v>HTML; medium-format images; item PDF where offered; JSON metadata</x:v>
      </x:c>
      <x:c r="Q28" s="44" t="str">
        <x:v>https://collections.louvre.fr/en/ark:/53355/cl010174559</x:v>
      </x:c>
      <x:c r="R28" s="44" t="str">
        <x:v>https://collections.louvre.fr/en/ark:/53355/cl010174559.json</x:v>
      </x:c>
      <x:c r="S28" s="44" t="str">
        <x:v>ark:/53355/cl010174559</x:v>
      </x:c>
      <x:c r="T28" s="6" t="str">
        <x:v>verified_live_and_rights_checked</x:v>
      </x:c>
      <x:c r="U28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28" s="18" t="str">
        <x:v>Современное описание и перевод карточки — текстовые данные Louvre под Etalab Open Licence; научный аппарат сторонних публикаций не включён.</x:v>
      </x:c>
      <x:c r="W28" s="18" t="str">
        <x:v>Текстовые метаданные — Etalab; medium-format фотографии разрешены бесплатно лишь для перечисленных научных/образовательных и иных целей с кредитом и permalink; прочие использования требуют разрешения.</x:v>
      </x:c>
      <x:c r="X28" s="18" t="str">
        <x:v>Глубокие ссылки допускаются при ясном указании источника; не встраивать страницу как собственную.</x:v>
      </x:c>
      <x:c r="Y28" s="18" t="str">
        <x:v>Etalab Open Licence for entry text; Louvre Terms of Use art. 4.1.1.2 for photographs</x:v>
      </x:c>
      <x:c r="Z28" s="18" t="str">
        <x:v>Метаданные можно повторно использовать с атрибуцией. Фотографии — только в разрешённых научных/образовательных сценариях, с кредитом и permalink; это не общий MIRROR_OK.</x:v>
      </x:c>
      <x:c r="AA28" s="18" t="str">
        <x:v>LINK_OK; FREE_READ; FREE_DOWNLOAD; LOCAL_RESEARCH_COPY; OCR_OK; MIRROR_NONCOMMERCIAL; RIGHTS_REVIEW_REQUIRED; OWN_TRANSLATION_POSSIBLE</x:v>
      </x:c>
      <x:c r="AB28" s="18" t="str">
        <x:v>Древняя надпись и доступное музейное факсимиле одного свидетеля; самостоятельный перевод возможен только в пределах видимого текста, независимо от защищённого современного перевода и с оговоркой о спорности Linear Elamite.</x:v>
      </x:c>
      <x:c r="AC28" s="48" t="str">
        <x:v>https://collections.louvre.fr/en/page/cgu</x:v>
      </x:c>
      <x:c r="AD28" s="18" t="str">
        <x:v>2026-09-03</x:v>
      </x:c>
      <x:c r="AE28" s="18" t="str">
        <x:v>High</x:v>
      </x:c>
      <x:c r="AF28" s="24" t="str">
        <x:v>Official Louvre item-level witness.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29" ht="108" customHeight="1">
      <x:c r="A29" s="23" t="str">
        <x:v>A07-R028</x:v>
      </x:c>
      <x:c r="B29" s="16" t="str">
        <x:v>A07</x:v>
      </x:c>
      <x:c r="C29" s="16" t="str">
        <x:v>core</x:v>
      </x:c>
      <x:c r="D29" s="6" t="str">
        <x:v>Linear Elamite inscribed object SB 155</x:v>
      </x:c>
      <x:c r="E29" s="6" t="str">
        <x:v>LEI 6/F</x:v>
      </x:c>
      <x:c r="F29" s="6" t="str">
        <x:v>Пузур-Иншушинак / царская или культовая мастерская</x:v>
      </x:c>
      <x:c r="G29" s="6" t="str">
        <x:v>late 3rd millennium BCE</x:v>
      </x:c>
      <x:c r="H29" s="6" t="str">
        <x:v>physical_witness</x:v>
      </x:c>
      <x:c r="I29" s="6" t="str">
        <x:v>Официальная музейная карточка с фотографиями, библиографией и современным описанием</x:v>
      </x:c>
      <x:c r="J29" s="6" t="str">
        <x:v>Linear Elamite</x:v>
      </x:c>
      <x:c r="K29" s="6" t="str"/>
      <x:c r="L29" s="6" t="str">
        <x:v>SB 155; LEI 6/F</x:v>
      </x:c>
      <x:c r="M29" s="6" t="str">
        <x:v>Musée du Louvre, Département des Antiquités orientales</x:v>
      </x:c>
      <x:c r="N29" s="6" t="str">
        <x:v>free_full_read; free_download</x:v>
      </x:c>
      <x:c r="O29" s="6" t="str">
        <x:v>single_witness</x:v>
      </x:c>
      <x:c r="P29" s="6" t="str">
        <x:v>HTML; medium-format images; item PDF where offered; JSON metadata</x:v>
      </x:c>
      <x:c r="Q29" s="44" t="str">
        <x:v>https://collections.louvre.fr/en/ark:/53355/cl010174575</x:v>
      </x:c>
      <x:c r="R29" s="44" t="str">
        <x:v>https://collections.louvre.fr/en/ark:/53355/cl010174575.json</x:v>
      </x:c>
      <x:c r="S29" s="44" t="str">
        <x:v>ark:/53355/cl010174575</x:v>
      </x:c>
      <x:c r="T29" s="6" t="str">
        <x:v>verified_live_and_rights_checked</x:v>
      </x:c>
      <x:c r="U29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29" s="18" t="str">
        <x:v>Современное описание и перевод карточки — текстовые данные Louvre под Etalab Open Licence; научный аппарат сторонних публикаций не включён.</x:v>
      </x:c>
      <x:c r="W29" s="18" t="str">
        <x:v>Текстовые метаданные — Etalab; medium-format фотографии разрешены бесплатно лишь для перечисленных научных/образовательных и иных целей с кредитом и permalink; прочие использования требуют разрешения.</x:v>
      </x:c>
      <x:c r="X29" s="18" t="str">
        <x:v>Глубокие ссылки допускаются при ясном указании источника; не встраивать страницу как собственную.</x:v>
      </x:c>
      <x:c r="Y29" s="18" t="str">
        <x:v>Etalab Open Licence for entry text; Louvre Terms of Use art. 4.1.1.2 for photographs</x:v>
      </x:c>
      <x:c r="Z29" s="18" t="str">
        <x:v>Метаданные можно повторно использовать с атрибуцией. Фотографии — только в разрешённых научных/образовательных сценариях, с кредитом и permalink; это не общий MIRROR_OK.</x:v>
      </x:c>
      <x:c r="AA29" s="18" t="str">
        <x:v>LINK_OK; FREE_READ; FREE_DOWNLOAD; LOCAL_RESEARCH_COPY; OCR_OK; MIRROR_NONCOMMERCIAL; RIGHTS_REVIEW_REQUIRED; OWN_TRANSLATION_POSSIBLE</x:v>
      </x:c>
      <x:c r="AB29" s="18" t="str">
        <x:v>Древняя надпись и доступное музейное факсимиле одного свидетеля; самостоятельный перевод возможен только в пределах видимого текста, независимо от защищённого современного перевода и с оговоркой о спорности Linear Elamite.</x:v>
      </x:c>
      <x:c r="AC29" s="48" t="str">
        <x:v>https://collections.louvre.fr/en/page/cgu</x:v>
      </x:c>
      <x:c r="AD29" s="18" t="str">
        <x:v>2026-09-03</x:v>
      </x:c>
      <x:c r="AE29" s="18" t="str">
        <x:v>High</x:v>
      </x:c>
      <x:c r="AF29" s="24" t="str">
        <x:v>Official Louvre item-level witness.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30" ht="108" customHeight="1">
      <x:c r="A30" s="23" t="str">
        <x:v>A07-R029</x:v>
      </x:c>
      <x:c r="B30" s="16" t="str">
        <x:v>A07</x:v>
      </x:c>
      <x:c r="C30" s="16" t="str">
        <x:v>core</x:v>
      </x:c>
      <x:c r="D30" s="6" t="str">
        <x:v>Foundation cone fragment with Linear Elamite inscription</x:v>
      </x:c>
      <x:c r="E30" s="6" t="str">
        <x:v>Cone fragment / LEI 12/L</x:v>
      </x:c>
      <x:c r="F30" s="6" t="str">
        <x:v>Пузур-Иншушинак / царская или культовая мастерская</x:v>
      </x:c>
      <x:c r="G30" s="6" t="str">
        <x:v>late 3rd millennium BCE</x:v>
      </x:c>
      <x:c r="H30" s="6" t="str">
        <x:v>physical_witness</x:v>
      </x:c>
      <x:c r="I30" s="6" t="str">
        <x:v>Официальная музейная карточка с фотографиями, библиографией и современным описанием</x:v>
      </x:c>
      <x:c r="J30" s="6" t="str">
        <x:v>Linear Elamite</x:v>
      </x:c>
      <x:c r="K30" s="6" t="str"/>
      <x:c r="L30" s="6" t="str">
        <x:v>SB 17831; LEI 12/L</x:v>
      </x:c>
      <x:c r="M30" s="6" t="str">
        <x:v>Musée du Louvre, Département des Antiquités orientales</x:v>
      </x:c>
      <x:c r="N30" s="6" t="str">
        <x:v>free_full_read; free_download</x:v>
      </x:c>
      <x:c r="O30" s="6" t="str">
        <x:v>single_witness</x:v>
      </x:c>
      <x:c r="P30" s="6" t="str">
        <x:v>HTML; medium-format images; item PDF where offered; JSON metadata</x:v>
      </x:c>
      <x:c r="Q30" s="44" t="str">
        <x:v>https://collections.louvre.fr/en/ark:/53355/cl010188733</x:v>
      </x:c>
      <x:c r="R30" s="44" t="str">
        <x:v>https://collections.louvre.fr/en/ark:/53355/cl010188733.json</x:v>
      </x:c>
      <x:c r="S30" s="44" t="str">
        <x:v>ark:/53355/cl010188733</x:v>
      </x:c>
      <x:c r="T30" s="6" t="str">
        <x:v>verified_live_and_rights_checked</x:v>
      </x:c>
      <x:c r="U30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30" s="18" t="str">
        <x:v>Современное описание и перевод карточки — текстовые данные Louvre под Etalab Open Licence; научный аппарат сторонних публикаций не включён.</x:v>
      </x:c>
      <x:c r="W30" s="18" t="str">
        <x:v>Текстовые метаданные — Etalab; medium-format фотографии разрешены бесплатно лишь для перечисленных научных/образовательных и иных целей с кредитом и permalink; прочие использования требуют разрешения.</x:v>
      </x:c>
      <x:c r="X30" s="18" t="str">
        <x:v>Глубокие ссылки допускаются при ясном указании источника; не встраивать страницу как собственную.</x:v>
      </x:c>
      <x:c r="Y30" s="18" t="str">
        <x:v>Etalab Open Licence for entry text; Louvre Terms of Use art. 4.1.1.2 for photographs</x:v>
      </x:c>
      <x:c r="Z30" s="18" t="str">
        <x:v>Метаданные можно повторно использовать с атрибуцией. Фотографии — только в разрешённых научных/образовательных сценариях, с кредитом и permalink; это не общий MIRROR_OK.</x:v>
      </x:c>
      <x:c r="AA30" s="18" t="str">
        <x:v>LINK_OK; FREE_READ; FREE_DOWNLOAD; LOCAL_RESEARCH_COPY; OCR_OK; MIRROR_NONCOMMERCIAL; RIGHTS_REVIEW_REQUIRED; OWN_TRANSLATION_POSSIBLE</x:v>
      </x:c>
      <x:c r="AB30" s="18" t="str">
        <x:v>Древняя надпись и доступное музейное факсимиле одного свидетеля; самостоятельный перевод возможен только в пределах видимого текста, независимо от защищённого современного перевода и с оговоркой о спорности Linear Elamite.</x:v>
      </x:c>
      <x:c r="AC30" s="48" t="str">
        <x:v>https://collections.louvre.fr/en/page/cgu</x:v>
      </x:c>
      <x:c r="AD30" s="18" t="str">
        <x:v>2026-09-03</x:v>
      </x:c>
      <x:c r="AE30" s="18" t="str">
        <x:v>High</x:v>
      </x:c>
      <x:c r="AF30" s="24" t="str">
        <x:v>Fragmentary witness; positive translation tag is limited to this fragment and does not imply corpus completeness.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31" ht="108" customHeight="1">
      <x:c r="A31" s="23" t="str">
        <x:v>A07-R030</x:v>
      </x:c>
      <x:c r="B31" s="16" t="str">
        <x:v>A07</x:v>
      </x:c>
      <x:c r="C31" s="16" t="str">
        <x:v>core</x:v>
      </x:c>
      <x:c r="D31" s="6" t="str">
        <x:v>Puzur-Inshushinak bilingual inscription SB 6</x:v>
      </x:c>
      <x:c r="E31" s="6" t="str">
        <x:v>LEI 2/B</x:v>
      </x:c>
      <x:c r="F31" s="6" t="str">
        <x:v>Пузур-Иншушинак / царская или культовая мастерская</x:v>
      </x:c>
      <x:c r="G31" s="6" t="str">
        <x:v>c. 2100 BCE</x:v>
      </x:c>
      <x:c r="H31" s="6" t="str">
        <x:v>physical_witness</x:v>
      </x:c>
      <x:c r="I31" s="6" t="str">
        <x:v>Официальная музейная карточка с фотографиями, библиографией и современным описанием</x:v>
      </x:c>
      <x:c r="J31" s="6" t="str">
        <x:v>Linear Elamite; Akkadian cuneiform</x:v>
      </x:c>
      <x:c r="K31" s="6" t="str"/>
      <x:c r="L31" s="6" t="str">
        <x:v>SB 6; LEI 2/B</x:v>
      </x:c>
      <x:c r="M31" s="6" t="str">
        <x:v>Musée du Louvre, Département des Antiquités orientales</x:v>
      </x:c>
      <x:c r="N31" s="6" t="str">
        <x:v>free_full_read; free_download</x:v>
      </x:c>
      <x:c r="O31" s="6" t="str">
        <x:v>single_witness</x:v>
      </x:c>
      <x:c r="P31" s="6" t="str">
        <x:v>HTML; medium-format images; item PDF where offered; JSON metadata</x:v>
      </x:c>
      <x:c r="Q31" s="44" t="str">
        <x:v>https://collections.louvre.fr/en/ark:/53355/cl010174596</x:v>
      </x:c>
      <x:c r="R31" s="44" t="str">
        <x:v>https://collections.louvre.fr/en/ark:/53355/cl010174596.json</x:v>
      </x:c>
      <x:c r="S31" s="44" t="str">
        <x:v>ark:/53355/cl010174596</x:v>
      </x:c>
      <x:c r="T31" s="6" t="str">
        <x:v>verified_live_and_rights_checked</x:v>
      </x:c>
      <x:c r="U31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31" s="18" t="str">
        <x:v>Современное описание и перевод карточки — текстовые данные Louvre под Etalab Open Licence; научный аппарат сторонних публикаций не включён.</x:v>
      </x:c>
      <x:c r="W31" s="18" t="str">
        <x:v>Текстовые метаданные — Etalab; medium-format фотографии разрешены бесплатно лишь для перечисленных научных/образовательных и иных целей с кредитом и permalink; прочие использования требуют разрешения.</x:v>
      </x:c>
      <x:c r="X31" s="18" t="str">
        <x:v>Глубокие ссылки допускаются при ясном указании источника; не встраивать страницу как собственную.</x:v>
      </x:c>
      <x:c r="Y31" s="18" t="str">
        <x:v>Etalab Open Licence for entry text; Louvre Terms of Use art. 4.1.1.2 for photographs</x:v>
      </x:c>
      <x:c r="Z31" s="18" t="str">
        <x:v>Метаданные можно повторно использовать с атрибуцией. Фотографии — только в разрешённых научных/образовательных сценариях, с кредитом и permalink; это не общий MIRROR_OK.</x:v>
      </x:c>
      <x:c r="AA31" s="18" t="str">
        <x:v>LINK_OK; FREE_READ; FREE_DOWNLOAD; LOCAL_RESEARCH_COPY; OCR_OK; MIRROR_NONCOMMERCIAL; RIGHTS_REVIEW_REQUIRED; OWN_TRANSLATION_POSSIBLE</x:v>
      </x:c>
      <x:c r="AB31" s="18" t="str">
        <x:v>Древняя надпись и доступное музейное факсимиле одного свидетеля; самостоятельный перевод возможен только в пределах видимого текста, независимо от защищённого современного перевода и с оговоркой о спорности Linear Elamite.</x:v>
      </x:c>
      <x:c r="AC31" s="48" t="str">
        <x:v>https://collections.louvre.fr/en/page/cgu</x:v>
      </x:c>
      <x:c r="AD31" s="18" t="str">
        <x:v>2026-09-03</x:v>
      </x:c>
      <x:c r="AE31" s="18" t="str">
        <x:v>High</x:v>
      </x:c>
      <x:c r="AF31" s="24" t="str">
        <x:v>Central bilingual/parallel anchor for the traditional decipherment history.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32" ht="108" customHeight="1">
      <x:c r="A32" s="23" t="str">
        <x:v>A07-R031</x:v>
      </x:c>
      <x:c r="B32" s="16" t="str">
        <x:v>A07</x:v>
      </x:c>
      <x:c r="C32" s="16" t="str">
        <x:v>transmission_or_preservation</x:v>
      </x:c>
      <x:c r="D32" s="6" t="str">
        <x:v>Akkadian statue fragment of Puzur-Inshushinak, SB 86</x:v>
      </x:c>
      <x:c r="E32" s="6" t="str">
        <x:v>Statue fragment with Akkadian royal inscription</x:v>
      </x:c>
      <x:c r="F32" s="6" t="str">
        <x:v>Пузур-Иншушинак / царская или культовая мастерская</x:v>
      </x:c>
      <x:c r="G32" s="6" t="str">
        <x:v>c. 2100 BCE</x:v>
      </x:c>
      <x:c r="H32" s="6" t="str">
        <x:v>physical_witness</x:v>
      </x:c>
      <x:c r="I32" s="6" t="str">
        <x:v>Официальная музейная карточка с фотографиями, библиографией и современным описанием</x:v>
      </x:c>
      <x:c r="J32" s="6" t="str">
        <x:v>Akkadian cuneiform</x:v>
      </x:c>
      <x:c r="K32" s="6" t="str"/>
      <x:c r="L32" s="6" t="str">
        <x:v>SB 86</x:v>
      </x:c>
      <x:c r="M32" s="6" t="str">
        <x:v>Musée du Louvre, Département des Antiquités orientales</x:v>
      </x:c>
      <x:c r="N32" s="6" t="str">
        <x:v>free_full_read; free_download</x:v>
      </x:c>
      <x:c r="O32" s="6" t="str">
        <x:v>single_witness</x:v>
      </x:c>
      <x:c r="P32" s="6" t="str">
        <x:v>HTML; medium-format images; item PDF where offered; JSON metadata</x:v>
      </x:c>
      <x:c r="Q32" s="44" t="str">
        <x:v>https://collections.louvre.fr/en/ark:/53355/cl010174509</x:v>
      </x:c>
      <x:c r="R32" s="44" t="str">
        <x:v>https://collections.louvre.fr/en/ark:/53355/cl010174509.json</x:v>
      </x:c>
      <x:c r="S32" s="44" t="str">
        <x:v>ark:/53355/cl010174509</x:v>
      </x:c>
      <x:c r="T32" s="6" t="str">
        <x:v>verified_live_and_rights_checked</x:v>
      </x:c>
      <x:c r="U32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32" s="18" t="str">
        <x:v>Современное описание и перевод карточки — текстовые данные Louvre под Etalab Open Licence; научный аппарат сторонних публикаций не включён.</x:v>
      </x:c>
      <x:c r="W32" s="18" t="str">
        <x:v>Текстовые метаданные — Etalab; medium-format фотографии разрешены бесплатно лишь для перечисленных научных/образовательных и иных целей с кредитом и permalink; прочие использования требуют разрешения.</x:v>
      </x:c>
      <x:c r="X32" s="18" t="str">
        <x:v>Глубокие ссылки допускаются при ясном указании источника; не встраивать страницу как собственную.</x:v>
      </x:c>
      <x:c r="Y32" s="18" t="str">
        <x:v>Etalab Open Licence for entry text; Louvre Terms of Use art. 4.1.1.2 for photographs</x:v>
      </x:c>
      <x:c r="Z32" s="18" t="str">
        <x:v>Метаданные можно повторно использовать с атрибуцией. Фотографии — только в разрешённых научных/образовательных сценариях, с кредитом и permalink; это не общий MIRROR_OK.</x:v>
      </x:c>
      <x:c r="AA32" s="18" t="str">
        <x:v>LINK_OK; FREE_READ; FREE_DOWNLOAD; LOCAL_RESEARCH_COPY; OCR_OK; MIRROR_NONCOMMERCIAL; RIGHTS_REVIEW_REQUIRED; OWN_TRANSLATION_POSSIBLE</x:v>
      </x:c>
      <x:c r="AB32" s="18" t="str">
        <x:v>Древняя надпись и доступное музейное факсимиле одного свидетеля; самостоятельный перевод возможен только в пределах видимого текста, независимо от защищённого современного перевода и с оговоркой о спорности Linear Elamite.</x:v>
      </x:c>
      <x:c r="AC32" s="48" t="str">
        <x:v>https://collections.louvre.fr/en/page/cgu</x:v>
      </x:c>
      <x:c r="AD32" s="18" t="str">
        <x:v>2026-09-03</x:v>
      </x:c>
      <x:c r="AE32" s="18" t="str">
        <x:v>High</x:v>
      </x:c>
      <x:c r="AF32" s="24" t="str">
        <x:v>Cuneiform control text linked to the same ruler and monument group; essential for delimiting Linear Elamite readings.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33" ht="108" customHeight="1">
      <x:c r="A33" s="23" t="str">
        <x:v>A07-R032</x:v>
      </x:c>
      <x:c r="B33" s="16" t="str">
        <x:v>A07</x:v>
      </x:c>
      <x:c r="C33" s="16" t="str">
        <x:v>transmission_or_preservation</x:v>
      </x:c>
      <x:c r="D33" s="6" t="str">
        <x:v>Akkadian counterpart inscription SB 177</x:v>
      </x:c>
      <x:c r="E33" s="6" t="str">
        <x:v>Related Akkadian royal inscription</x:v>
      </x:c>
      <x:c r="F33" s="6" t="str">
        <x:v>Пузур-Иншушинак / царская или культовая мастерская</x:v>
      </x:c>
      <x:c r="G33" s="6" t="str">
        <x:v>c. 2100 BCE</x:v>
      </x:c>
      <x:c r="H33" s="6" t="str">
        <x:v>physical_witness</x:v>
      </x:c>
      <x:c r="I33" s="6" t="str">
        <x:v>Официальная музейная карточка с фотографиями, библиографией и современным описанием</x:v>
      </x:c>
      <x:c r="J33" s="6" t="str">
        <x:v>Akkadian cuneiform</x:v>
      </x:c>
      <x:c r="K33" s="6" t="str"/>
      <x:c r="L33" s="6" t="str">
        <x:v>SB 177</x:v>
      </x:c>
      <x:c r="M33" s="6" t="str">
        <x:v>Musée du Louvre, Département des Antiquités orientales</x:v>
      </x:c>
      <x:c r="N33" s="6" t="str">
        <x:v>free_full_read; free_download</x:v>
      </x:c>
      <x:c r="O33" s="6" t="str">
        <x:v>single_witness</x:v>
      </x:c>
      <x:c r="P33" s="6" t="str">
        <x:v>HTML; medium-format images; item PDF where offered; JSON metadata</x:v>
      </x:c>
      <x:c r="Q33" s="44" t="str">
        <x:v>https://collections.louvre.fr/en/ark:/53355/cl010246657</x:v>
      </x:c>
      <x:c r="R33" s="44" t="str">
        <x:v>https://collections.louvre.fr/en/ark:/53355/cl010246657.json</x:v>
      </x:c>
      <x:c r="S33" s="44" t="str">
        <x:v>ark:/53355/cl010246657</x:v>
      </x:c>
      <x:c r="T33" s="6" t="str">
        <x:v>verified_live_and_rights_checked</x:v>
      </x:c>
      <x:c r="U33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33" s="18" t="str">
        <x:v>Современное описание и перевод карточки — текстовые данные Louvre под Etalab Open Licence; научный аппарат сторонних публикаций не включён.</x:v>
      </x:c>
      <x:c r="W33" s="18" t="str">
        <x:v>Текстовые метаданные — Etalab; medium-format фотографии разрешены бесплатно лишь для перечисленных научных/образовательных и иных целей с кредитом и permalink; прочие использования требуют разрешения.</x:v>
      </x:c>
      <x:c r="X33" s="18" t="str">
        <x:v>Глубокие ссылки допускаются при ясном указании источника; не встраивать страницу как собственную.</x:v>
      </x:c>
      <x:c r="Y33" s="18" t="str">
        <x:v>Etalab Open Licence for entry text; Louvre Terms of Use art. 4.1.1.2 for photographs</x:v>
      </x:c>
      <x:c r="Z33" s="18" t="str">
        <x:v>Метаданные можно повторно использовать с атрибуцией. Фотографии — только в разрешённых научных/образовательных сценариях, с кредитом и permalink; это не общий MIRROR_OK.</x:v>
      </x:c>
      <x:c r="AA33" s="18" t="str">
        <x:v>LINK_OK; FREE_READ; FREE_DOWNLOAD; LOCAL_RESEARCH_COPY; OCR_OK; MIRROR_NONCOMMERCIAL; RIGHTS_REVIEW_REQUIRED; OWN_TRANSLATION_POSSIBLE</x:v>
      </x:c>
      <x:c r="AB33" s="18" t="str">
        <x:v>Древняя надпись и доступное музейное факсимиле одного свидетеля; самостоятельный перевод возможен только в пределах видимого текста, независимо от защищённого современного перевода и с оговоркой о спорности Linear Elamite.</x:v>
      </x:c>
      <x:c r="AC33" s="48" t="str">
        <x:v>https://collections.louvre.fr/en/page/cgu</x:v>
      </x:c>
      <x:c r="AD33" s="18" t="str">
        <x:v>2026-09-03</x:v>
      </x:c>
      <x:c r="AE33" s="18" t="str">
        <x:v>High</x:v>
      </x:c>
      <x:c r="AF33" s="24" t="str">
        <x:v>Control/comparative witness in the Puzur-Inshushinak epigraphic dossier.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34" ht="108" customHeight="1">
      <x:c r="A34" s="23" t="str">
        <x:v>A07-R033</x:v>
      </x:c>
      <x:c r="B34" s="16" t="str">
        <x:v>A07</x:v>
      </x:c>
      <x:c r="C34" s="16" t="str">
        <x:v>same_corpus_or_tradition</x:v>
      </x:c>
      <x:c r="D34" s="6" t="str">
        <x:v>Statue of Puzur-Inshushinak with Akkadian inscription</x:v>
      </x:c>
      <x:c r="E34" s="6" t="str">
        <x:v>Statue de Puzur-Inshushinak</x:v>
      </x:c>
      <x:c r="F34" s="6" t="str">
        <x:v>Пузур-Иншушинак / царская или культовая мастерская</x:v>
      </x:c>
      <x:c r="G34" s="6" t="str">
        <x:v>c. 2100 BCE</x:v>
      </x:c>
      <x:c r="H34" s="6" t="str">
        <x:v>physical_witness</x:v>
      </x:c>
      <x:c r="I34" s="6" t="str">
        <x:v>Официальная музейная карточка с фотографиями, библиографией и современным описанием</x:v>
      </x:c>
      <x:c r="J34" s="6" t="str">
        <x:v>Akkadian cuneiform</x:v>
      </x:c>
      <x:c r="K34" s="6" t="str"/>
      <x:c r="L34" s="6" t="str">
        <x:v>SB 55</x:v>
      </x:c>
      <x:c r="M34" s="6" t="str">
        <x:v>Musée du Louvre, Département des Antiquités orientales</x:v>
      </x:c>
      <x:c r="N34" s="6" t="str">
        <x:v>free_full_read; free_download</x:v>
      </x:c>
      <x:c r="O34" s="6" t="str">
        <x:v>single_witness</x:v>
      </x:c>
      <x:c r="P34" s="6" t="str">
        <x:v>HTML; medium-format images; item PDF where offered; JSON metadata</x:v>
      </x:c>
      <x:c r="Q34" s="44" t="str">
        <x:v>https://collections.louvre.fr/en/ark:/53355/cl010174483</x:v>
      </x:c>
      <x:c r="R34" s="44" t="str">
        <x:v>https://collections.louvre.fr/en/ark:/53355/cl010174483.json</x:v>
      </x:c>
      <x:c r="S34" s="44" t="str">
        <x:v>ark:/53355/cl010174483</x:v>
      </x:c>
      <x:c r="T34" s="6" t="str">
        <x:v>verified_live_and_rights_checked</x:v>
      </x:c>
      <x:c r="U34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34" s="18" t="str">
        <x:v>Современное описание и перевод карточки — текстовые данные Louvre под Etalab Open Licence; научный аппарат сторонних публикаций не включён.</x:v>
      </x:c>
      <x:c r="W34" s="18" t="str">
        <x:v>Текстовые метаданные — Etalab; medium-format фотографии разрешены бесплатно лишь для перечисленных научных/образовательных и иных целей с кредитом и permalink; прочие использования требуют разрешения.</x:v>
      </x:c>
      <x:c r="X34" s="18" t="str">
        <x:v>Глубокие ссылки допускаются при ясном указании источника; не встраивать страницу как собственную.</x:v>
      </x:c>
      <x:c r="Y34" s="18" t="str">
        <x:v>Etalab Open Licence for entry text; Louvre Terms of Use art. 4.1.1.2 for photographs</x:v>
      </x:c>
      <x:c r="Z34" s="18" t="str">
        <x:v>Метаданные можно повторно использовать с атрибуцией. Фотографии — только в разрешённых научных/образовательных сценариях, с кредитом и permalink; это не общий MIRROR_OK.</x:v>
      </x:c>
      <x:c r="AA34" s="18" t="str">
        <x:v>LINK_OK; FREE_READ; FREE_DOWNLOAD; LOCAL_RESEARCH_COPY; OCR_OK; MIRROR_NONCOMMERCIAL; RIGHTS_REVIEW_REQUIRED; OWN_TRANSLATION_POSSIBLE</x:v>
      </x:c>
      <x:c r="AB34" s="18" t="str">
        <x:v>Древняя надпись и доступное музейное факсимиле одного свидетеля; самостоятельный перевод возможен только в пределах видимого текста, независимо от защищённого современного перевода и с оговоркой о спорности Linear Elamite.</x:v>
      </x:c>
      <x:c r="AC34" s="48" t="str">
        <x:v>https://collections.louvre.fr/en/page/cgu</x:v>
      </x:c>
      <x:c r="AD34" s="18" t="str">
        <x:v>2026-09-03</x:v>
      </x:c>
      <x:c r="AE34" s="18" t="str">
        <x:v>High</x:v>
      </x:c>
      <x:c r="AF34" s="24" t="str">
        <x:v>Royal epigraphic context for the Linear Elamite inscriptions, even where this object itself uses cuneiform Akkadian.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35" ht="108" customHeight="1">
      <x:c r="A35" s="23" t="str">
        <x:v>A07-R034</x:v>
      </x:c>
      <x:c r="B35" s="16" t="str">
        <x:v>A07</x:v>
      </x:c>
      <x:c r="C35" s="16" t="str">
        <x:v>same_corpus_or_tradition</x:v>
      </x:c>
      <x:c r="D35" s="6" t="str">
        <x:v>Foundation nail/cone of Puzur-Inshushinak</x:v>
      </x:c>
      <x:c r="E35" s="6" t="str">
        <x:v>Clou de fondation de Puzur-Inshushinak</x:v>
      </x:c>
      <x:c r="F35" s="6" t="str">
        <x:v>Пузур-Иншушинак / царская или культовая мастерская</x:v>
      </x:c>
      <x:c r="G35" s="6" t="str">
        <x:v>c. 2100 BCE</x:v>
      </x:c>
      <x:c r="H35" s="6" t="str">
        <x:v>physical_witness</x:v>
      </x:c>
      <x:c r="I35" s="6" t="str">
        <x:v>Официальная музейная карточка с фотографиями, библиографией и современным описанием</x:v>
      </x:c>
      <x:c r="J35" s="6" t="str">
        <x:v>Akkadian cuneiform</x:v>
      </x:c>
      <x:c r="K35" s="6" t="str"/>
      <x:c r="L35" s="6" t="str">
        <x:v>Louvre foundation deposit</x:v>
      </x:c>
      <x:c r="M35" s="6" t="str">
        <x:v>Musée du Louvre, Département des Antiquités orientales</x:v>
      </x:c>
      <x:c r="N35" s="6" t="str">
        <x:v>free_full_read; free_download</x:v>
      </x:c>
      <x:c r="O35" s="6" t="str">
        <x:v>single_witness</x:v>
      </x:c>
      <x:c r="P35" s="6" t="str">
        <x:v>HTML; medium-format images; item PDF where offered; JSON metadata</x:v>
      </x:c>
      <x:c r="Q35" s="44" t="str">
        <x:v>https://collections.louvre.fr/en/ark:/53355/cl010359315</x:v>
      </x:c>
      <x:c r="R35" s="44" t="str">
        <x:v>https://collections.louvre.fr/en/ark:/53355/cl010359315.json</x:v>
      </x:c>
      <x:c r="S35" s="44" t="str">
        <x:v>ark:/53355/cl010359315</x:v>
      </x:c>
      <x:c r="T35" s="6" t="str">
        <x:v>verified_live_and_rights_checked</x:v>
      </x:c>
      <x:c r="U35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35" s="18" t="str">
        <x:v>Современное описание и перевод карточки — текстовые данные Louvre под Etalab Open Licence; научный аппарат сторонних публикаций не включён.</x:v>
      </x:c>
      <x:c r="W35" s="18" t="str">
        <x:v>Текстовые метаданные — Etalab; medium-format фотографии разрешены бесплатно лишь для перечисленных научных/образовательных и иных целей с кредитом и permalink; прочие использования требуют разрешения.</x:v>
      </x:c>
      <x:c r="X35" s="18" t="str">
        <x:v>Глубокие ссылки допускаются при ясном указании источника; не встраивать страницу как собственную.</x:v>
      </x:c>
      <x:c r="Y35" s="18" t="str">
        <x:v>Etalab Open Licence for entry text; Louvre Terms of Use art. 4.1.1.2 for photographs</x:v>
      </x:c>
      <x:c r="Z35" s="18" t="str">
        <x:v>Метаданные можно повторно использовать с атрибуцией. Фотографии — только в разрешённых научных/образовательных сценариях, с кредитом и permalink; это не общий MIRROR_OK.</x:v>
      </x:c>
      <x:c r="AA35" s="18" t="str">
        <x:v>LINK_OK; FREE_READ; FREE_DOWNLOAD; LOCAL_RESEARCH_COPY; OCR_OK; MIRROR_NONCOMMERCIAL; RIGHTS_REVIEW_REQUIRED; OWN_TRANSLATION_POSSIBLE</x:v>
      </x:c>
      <x:c r="AB35" s="18" t="str">
        <x:v>Древняя надпись и доступное музейное факсимиле одного свидетеля; самостоятельный перевод возможен только в пределах видимого текста, независимо от защищённого современного перевода и с оговоркой о спорности Linear Elamite.</x:v>
      </x:c>
      <x:c r="AC35" s="48" t="str">
        <x:v>https://collections.louvre.fr/en/page/cgu</x:v>
      </x:c>
      <x:c r="AD35" s="18" t="str">
        <x:v>2026-09-03</x:v>
      </x:c>
      <x:c r="AE35" s="18" t="str">
        <x:v>High</x:v>
      </x:c>
      <x:c r="AF35" s="24" t="str">
        <x:v>Royal foundation-deposit context; directly linked to the Puzur-Inshushinak inscriptional programme.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36" ht="108" customHeight="1">
      <x:c r="A36" s="23" t="str">
        <x:v>A07-R035</x:v>
      </x:c>
      <x:c r="B36" s="16" t="str">
        <x:v>A07</x:v>
      </x:c>
      <x:c r="C36" s="16" t="str">
        <x:v>core</x:v>
      </x:c>
      <x:c r="D36" s="6" t="str">
        <x:v>Linear Elamite inscription on a silver vessel</x:v>
      </x:c>
      <x:c r="E36" s="6" t="str">
        <x:v>Linear Elamite silver vessel</x:v>
      </x:c>
      <x:c r="F36" s="6" t="str">
        <x:v>Анонимный писец / мастерская</x:v>
      </x:c>
      <x:c r="G36" s="6" t="str">
        <x:v>late 3rd / early 2nd millennium BCE</x:v>
      </x:c>
      <x:c r="H36" s="6" t="str">
        <x:v>physical_witness</x:v>
      </x:c>
      <x:c r="I36" s="6" t="str">
        <x:v>Item-level карточка CDLI P513377</x:v>
      </x:c>
      <x:c r="J36" s="6" t="str">
        <x:v>Linear Elamite</x:v>
      </x:c>
      <x:c r="K36" s="6" t="str"/>
      <x:c r="L36" s="6" t="str">
        <x:v>P513377; CDLI P513377</x:v>
      </x:c>
      <x:c r="M36" s="6" t="str">
        <x:v>CDLI; хранитель указан в item record</x:v>
      </x:c>
      <x:c r="N36" s="6" t="str">
        <x:v>free_full_read; free_download</x:v>
      </x:c>
      <x:c r="O36" s="6" t="str">
        <x:v>single_witness</x:v>
      </x:c>
      <x:c r="P36" s="6" t="str">
        <x:v>HTML; транслитерация; экспорт метаданных (JSON/CSV/TSV/Linked Data); изображения или line art, если показаны</x:v>
      </x:c>
      <x:c r="Q36" s="44" t="str">
        <x:v>https://cdli.earth/P513377</x:v>
      </x:c>
      <x:c r="R36" s="44" t="str"/>
      <x:c r="S36" s="44" t="str">
        <x:v>P513377</x:v>
      </x:c>
      <x:c r="T36" s="6" t="str">
        <x:v>verified_item_in_research_pass</x:v>
      </x:c>
      <x:c r="U36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36" s="18" t="str">
        <x:v>Права на современную транслитерацию/атрибуцию отдельно не установлены.</x:v>
      </x:c>
      <x:c r="W36" s="18" t="str">
        <x:v>Фотография и line art имеют отдельные кредиты/правообладателей; не считать их свободными автоматически.</x:v>
      </x:c>
      <x:c r="X36" s="18" t="str">
        <x:v>Item-level кредиты и CDLI Terms of Use.</x:v>
      </x:c>
      <x:c r="Y36" s="18" t="str">
        <x:v>rights mixed / review required</x:v>
      </x:c>
      <x:c r="Z36" s="18" t="str">
        <x:v>Один свидетель и доступные на карточке компоненты; зеркалирование не рекомендовано без component-level проверки.</x:v>
      </x:c>
      <x:c r="AA36" s="18" t="str">
        <x:v>LINK_OK; FREE_READ; FREE_DOWNLOAD; LOCAL_RESEARCH_COPY; RIGHTS_REVIEW_REQUIRED; OWN_TRANSLATION_POSSIBLE</x:v>
      </x:c>
      <x:c r="AB36" s="18" t="str">
        <x:v>Древняя надпись на одном физическом свидетеле + доступная транслитерация/изображение; независимый перевод ограничен этим свидетелем и не даёт права копировать современный аппарат или изображение.</x:v>
      </x:c>
      <x:c r="AC36" s="48" t="str">
        <x:v>https://cdli.earth/terms-of-use</x:v>
      </x:c>
      <x:c r="AD36" s="18" t="str">
        <x:v>2026-09-03</x:v>
      </x:c>
      <x:c r="AE36" s="18" t="str">
        <x:v>Medium</x:v>
      </x:c>
      <x:c r="AF36" s="24" t="str">
        <x:v>Provenience: unprovenanced / modern collection history. Representative vessel inscription from the expanded modern corpus; provenance/antiquities-market history requires scholarly and legal caution.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37" ht="108" customHeight="1">
      <x:c r="A37" s="23" t="str">
        <x:v>A07-R036</x:v>
      </x:c>
      <x:c r="B37" s="16" t="str">
        <x:v>A07</x:v>
      </x:c>
      <x:c r="C37" s="16" t="str">
        <x:v>core</x:v>
      </x:c>
      <x:c r="D37" s="6" t="str">
        <x:v>Documents archaïques: proto-Elamite texts from Susa (MDP 6)</x:v>
      </x:c>
      <x:c r="E37" s="6" t="str">
        <x:v>Mémoires de la Délégation en Perse, tome VI</x:v>
      </x:c>
      <x:c r="F37" s="6" t="str">
        <x:v>Vincent Scheil and Délégation en Perse</x:v>
      </x:c>
      <x:c r="G37" s="6" t="str">
        <x:v>1905</x:v>
      </x:c>
      <x:c r="H37" s="6" t="str">
        <x:v>translation_or_edition</x:v>
      </x:c>
      <x:c r="I37" s="6" t="str">
        <x:v>Public-domain historical volume, complete scan</x:v>
      </x:c>
      <x:c r="J37" s="6" t="str">
        <x:v>French; proto-Elamite copies/transcriptions</x:v>
      </x:c>
      <x:c r="K37" s="6" t="str">
        <x:v>Vincent Scheil</x:v>
      </x:c>
      <x:c r="L37" s="6" t="str">
        <x:v>MDP 6</x:v>
      </x:c>
      <x:c r="M37" s="6" t="str">
        <x:v>Internet Archive / University of Toronto - Robarts Library</x:v>
      </x:c>
      <x:c r="N37" s="6" t="str">
        <x:v>free_full_read; free_download</x:v>
      </x:c>
      <x:c r="O37" s="6" t="str">
        <x:v>complete_work_or_corpus</x:v>
      </x:c>
      <x:c r="P37" s="6" t="str">
        <x:v>PDF; PDF with text; DjVu; OCR TXT; JP2/ZIP; EPUB/Kindle derivatives</x:v>
      </x:c>
      <x:c r="Q37" s="44" t="str">
        <x:v>https://archive.org/details/mmoires06franuoft</x:v>
      </x:c>
      <x:c r="R37" s="44" t="str">
        <x:v>https://archive.org/download/mmoires06franuoft/mmoires06franuoft.pdf</x:v>
      </x:c>
      <x:c r="S37" s="44" t="str">
        <x:v>Internet Archive: mmoires06franuoft</x:v>
      </x:c>
      <x:c r="T37" s="6" t="str">
        <x:v>verified_live; item rights statement checked</x:v>
      </x:c>
      <x:c r="U37" s="18" t="str">
        <x:v>1905 edition is public domain in many jurisdictions; verify local term-of-protection rules.</x:v>
      </x:c>
      <x:c r="V37" s="18" t="str">
        <x:v>Historical edition is public domain by age in the source jurisdiction context.</x:v>
      </x:c>
      <x:c r="W37" s="18" t="str">
        <x:v>Internet Archive item marks Public Domain Mark 1.0; scan provenance is Canadian Libraries.</x:v>
      </x:c>
      <x:c r="X37" s="18" t="str">
        <x:v>Internet Archive item terms; PDM is a rights label, not a license.</x:v>
      </x:c>
      <x:c r="Y37" s="18" t="str">
        <x:v>Public Domain Mark 1.0 on item</x:v>
      </x:c>
      <x:c r="Z37" s="18" t="str">
        <x:v>Complete scanned 1905 volume and its IA derivatives; jurisdictional caveat remains for reuse outside the source context.</x:v>
      </x:c>
      <x:c r="AA37" s="18" t="str">
        <x:v>LINK_OK; FREE_READ; FREE_DOWNLOAD; LOCAL_RESEARCH_COPY; MIRROR_OK; OCR_OK; FULLTEXT_INDEX_OK; EMBEDDINGS_OK; OWN_TRANSLATION_POSSIBLE</x:v>
      </x:c>
      <x:c r="AB37" s="18" t="str">
        <x:v>Public-domain printed copies/transcriptions and facsimile plates of the witnesses in MDP 6; the tag is limited to those witnesses and to what the old edition actually reproduces.</x:v>
      </x:c>
      <x:c r="AC37" s="48" t="str">
        <x:v>https://archive.org/details/mmoires06franuoft</x:v>
      </x:c>
      <x:c r="AD37" s="18" t="str">
        <x:v>2026-09-03</x:v>
      </x:c>
      <x:c r="AE37" s="18" t="str">
        <x:v>High</x:v>
      </x:c>
      <x:c r="AF37" s="24" t="str">
        <x:v>Most reusable complete historical access layer found for MDP 6. Retain source/provenance metadata and do not call Public Domain Mark a license.</x:v>
      </x:c>
    </x:row>
    <x:row r="38" ht="108" customHeight="1">
      <x:c r="A38" s="23" t="str">
        <x:v>A07-R037</x:v>
      </x:c>
      <x:c r="B38" s="16" t="str">
        <x:v>A07</x:v>
      </x:c>
      <x:c r="C38" s="16" t="str">
        <x:v>core</x:v>
      </x:c>
      <x:c r="D38" s="6" t="str">
        <x:v>MDP 6 in Google Books</x:v>
      </x:c>
      <x:c r="E38" s="6" t="str">
        <x:v>Mémoires de la Délégation en Perse, vol. 6</x:v>
      </x:c>
      <x:c r="F38" s="6" t="str">
        <x:v>Délégation en Perse; Vincent Scheil</x:v>
      </x:c>
      <x:c r="G38" s="6" t="str">
        <x:v>1905</x:v>
      </x:c>
      <x:c r="H38" s="6" t="str">
        <x:v>digital_text_or_facsimile</x:v>
      </x:c>
      <x:c r="I38" s="6" t="str">
        <x:v>Google Books full-view scan</x:v>
      </x:c>
      <x:c r="J38" s="6" t="str">
        <x:v>French; proto-Elamite plates</x:v>
      </x:c>
      <x:c r="K38" s="6" t="str">
        <x:v>Vincent Scheil</x:v>
      </x:c>
      <x:c r="L38" s="6" t="str">
        <x:v>Google Books G886AQAAMAAJ; MDP 6</x:v>
      </x:c>
      <x:c r="M38" s="6" t="str">
        <x:v>Google Books</x:v>
      </x:c>
      <x:c r="N38" s="6" t="str">
        <x:v>free_full_read; free_download</x:v>
      </x:c>
      <x:c r="O38" s="6" t="str">
        <x:v>complete_work_or_corpus</x:v>
      </x:c>
      <x:c r="P38" s="6" t="str">
        <x:v>HTML viewer; PDF/ePub where offered by region/account</x:v>
      </x:c>
      <x:c r="Q38" s="44" t="str">
        <x:v>https://books.google.com/books/about/M%C3%A9moires_de_la_d%C3%A9l%C3%A9gation_en_Perse.html?id=G886AQAAMAAJ</x:v>
      </x:c>
      <x:c r="R38" s="44" t="str"/>
      <x:c r="S38" s="44" t="str">
        <x:v>G886AQAAMAAJ</x:v>
      </x:c>
      <x:c r="T38" s="6" t="str">
        <x:v>verified_in_research_pass</x:v>
      </x:c>
      <x:c r="U38" s="18" t="str">
        <x:v>1905 edition is public domain by age in many jurisdictions.</x:v>
      </x:c>
      <x:c r="V38" s="18" t="str">
        <x:v>Historical edition public-domain inference; Google does not grant blanket reuse of platform scans.</x:v>
      </x:c>
      <x:c r="W38" s="18" t="str">
        <x:v>Google Books scan/download subject to platform terms and territorial availability.</x:v>
      </x:c>
      <x:c r="X38" s="18" t="str">
        <x:v>Google Books terms; automated redistribution of scan is not established.</x:v>
      </x:c>
      <x:c r="Y38" s="18" t="str">
        <x:v>Public-domain book / platform-restricted digital copy</x:v>
      </x:c>
      <x:c r="Z38" s="18" t="str">
        <x:v>Read/download as offered; link preferred. Mirror from IA record rather than treating Google scan as open.</x:v>
      </x:c>
      <x:c r="AA38" s="18" t="str">
        <x:v>LINK_OK; FREE_READ; FREE_DOWNLOAD; LOCAL_RESEARCH_COPY; RIGHTS_REVIEW_REQUIRED</x:v>
      </x:c>
      <x:c r="AB38" s="18" t="str">
        <x:v>Same historical MDP 6 witnesses, but Google’s digital copy is not the cleanest reuse layer.</x:v>
      </x:c>
      <x:c r="AC38" s="48" t="str">
        <x:v>https://books.google.com/intl/en/googlebooks/terms.html</x:v>
      </x:c>
      <x:c r="AD38" s="18" t="str">
        <x:v>2026-09-03</x:v>
      </x:c>
      <x:c r="AE38" s="18" t="str">
        <x:v>Medium</x:v>
      </x:c>
      <x:c r="AF38" s="24" t="str">
        <x:v>Useful redundancy and OCR/navigation; IA is the better reuse source.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39" ht="108" customHeight="1">
      <x:c r="A39" s="23" t="str">
        <x:v>A07-R038</x:v>
      </x:c>
      <x:c r="B39" s="16" t="str">
        <x:v>A07</x:v>
      </x:c>
      <x:c r="C39" s="16" t="str">
        <x:v>infrastructure</x:v>
      </x:c>
      <x:c r="D39" s="6" t="str">
        <x:v>Mémoires de la Délégation en Perse / MDP serial record</x:v>
      </x:c>
      <x:c r="E39" s="6" t="str">
        <x:v>Mémoires de la Délégation archéologique en Iran</x:v>
      </x:c>
      <x:c r="F39" s="6" t="str">
        <x:v>Délégation en Perse / Délégation archéologique en Iran</x:v>
      </x:c>
      <x:c r="G39" s="6" t="str">
        <x:v>1899–</x:v>
      </x:c>
      <x:c r="H39" s="6" t="str">
        <x:v>digital_project_or_catalogue</x:v>
      </x:c>
      <x:c r="I39" s="6" t="str">
        <x:v>Series-level catalogue with links to digitized older volumes</x:v>
      </x:c>
      <x:c r="J39" s="6" t="str">
        <x:v>French</x:v>
      </x:c>
      <x:c r="K39" s="6" t="str"/>
      <x:c r="L39" s="6" t="str"/>
      <x:c r="M39" s="6" t="str">
        <x:v>HathiTrust Digital Library</x:v>
      </x:c>
      <x:c r="N39" s="6" t="str">
        <x:v>free_full_read; free_registration; library_borrow; metadata_only</x:v>
      </x:c>
      <x:c r="O39" s="6" t="str">
        <x:v>selected_sections</x:v>
      </x:c>
      <x:c r="P39" s="6" t="str">
        <x:v>HTML page images; OCR/search; download availability varies by account/institution and volume</x:v>
      </x:c>
      <x:c r="Q39" s="44" t="str">
        <x:v>https://catalog.hathitrust.org/Record/000550799</x:v>
      </x:c>
      <x:c r="R39" s="44" t="str"/>
      <x:c r="S39" s="44" t="str">
        <x:v>HathiTrust Record 000550799</x:v>
      </x:c>
      <x:c r="T39" s="6" t="str">
        <x:v>verified_in_research_pass</x:v>
      </x:c>
      <x:c r="U39" s="18" t="str">
        <x:v>Older individual volumes may be public domain; later volumes vary.</x:v>
      </x:c>
      <x:c r="V39" s="18" t="str">
        <x:v>Volume-specific.</x:v>
      </x:c>
      <x:c r="W39" s="18" t="str">
        <x:v>HathiTrust access/download depends on rights status, location and partner authentication.</x:v>
      </x:c>
      <x:c r="X39" s="18" t="str">
        <x:v>HathiTrust Access and Use Policies.</x:v>
      </x:c>
      <x:c r="Y39" s="18" t="str">
        <x:v>mixed / volume-specific</x:v>
      </x:c>
      <x:c r="Z39" s="18" t="str">
        <x:v>Series navigation and lawful full-view access to eligible volumes; not a blanket permission to mirror the series.</x:v>
      </x:c>
      <x:c r="AA39" s="18" t="str">
        <x:v>LINK_OK; FREE_READ; LIBRARY_BORROW; METADATA_ONLY; RIGHTS_REVIEW_REQUIRED</x:v>
      </x:c>
      <x:c r="AB39" s="18" t="str">
        <x:v>Only individual full-view public-domain volumes/witnesses can serve as a basis after volume-level verification.</x:v>
      </x:c>
      <x:c r="AC39" s="48" t="str">
        <x:v>https://www.hathitrust.org/access_use/</x:v>
      </x:c>
      <x:c r="AD39" s="18" t="str">
        <x:v>2026-09-03</x:v>
      </x:c>
      <x:c r="AE39" s="18" t="str">
        <x:v>Medium</x:v>
      </x:c>
      <x:c r="AF39" s="24" t="str">
        <x:v>Important backup route for historical MDP volumes; download restrictions can be stricter than viewing.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40" ht="108" customHeight="1">
      <x:c r="A40" s="23" t="str">
        <x:v>A07-R039</x:v>
      </x:c>
      <x:c r="B40" s="16" t="str">
        <x:v>A07</x:v>
      </x:c>
      <x:c r="C40" s="16" t="str">
        <x:v>core</x:v>
      </x:c>
      <x:c r="D40" s="6" t="str">
        <x:v>Textes de comptabilité proto-élamites (MDP 17)</x:v>
      </x:c>
      <x:c r="E40" s="6" t="str">
        <x:v>MDP XVII</x:v>
      </x:c>
      <x:c r="F40" s="6" t="str">
        <x:v>Vincent Scheil</x:v>
      </x:c>
      <x:c r="G40" s="6" t="str">
        <x:v>1923</x:v>
      </x:c>
      <x:c r="H40" s="6" t="str">
        <x:v>translation_or_edition</x:v>
      </x:c>
      <x:c r="I40" s="6" t="str">
        <x:v>National-library catalogue record; no complete legal scan located</x:v>
      </x:c>
      <x:c r="J40" s="6" t="str">
        <x:v>French; proto-Elamite</x:v>
      </x:c>
      <x:c r="K40" s="6" t="str">
        <x:v>Vincent Scheil</x:v>
      </x:c>
      <x:c r="L40" s="6" t="str">
        <x:v>MDP 17; catalogue 0831938</x:v>
      </x:c>
      <x:c r="M40" s="6" t="str">
        <x:v>National Library of Turkey</x:v>
      </x:c>
      <x:c r="N40" s="6" t="str">
        <x:v>metadata_only</x:v>
      </x:c>
      <x:c r="O40" s="6" t="str">
        <x:v>metadata_only</x:v>
      </x:c>
      <x:c r="P40" s="6" t="str">
        <x:v>HTML catalogue metadata</x:v>
      </x:c>
      <x:c r="Q40" s="44" t="str">
        <x:v>https://kasif.mkutup.gov.tr/OpacArama.aspx?Ara=&amp;Auth=scheil&amp;Author=&amp;Dil=eng&amp;Id=0831938&amp;SearchField=0&amp;SearchMenu=1&amp;Title=textes-de-comptabilite-proto-elamites&amp;obra-tek=0831938</x:v>
      </x:c>
      <x:c r="R40" s="44" t="str"/>
      <x:c r="S40" s="44" t="str">
        <x:v>Kâşif 0831938</x:v>
      </x:c>
      <x:c r="T40" s="6" t="str">
        <x:v>verified_catalogue_record</x:v>
      </x:c>
      <x:c r="U40" s="18" t="str">
        <x:v>1923 publication may be public domain in some jurisdictions depending on author death and national rules; not assumed globally.</x:v>
      </x:c>
      <x:c r="V40" s="18" t="str">
        <x:v>Historical edition rights require jurisdictional review.</x:v>
      </x:c>
      <x:c r="W40" s="18" t="str">
        <x:v>No digital full-text object located.</x:v>
      </x:c>
      <x:c r="X40" s="18" t="str">
        <x:v>Library catalogue terms.</x:v>
      </x:c>
      <x:c r="Y40" s="18" t="str">
        <x:v>metadata only</x:v>
      </x:c>
      <x:c r="Z40" s="18" t="str">
        <x:v>Bibliographic identification only.</x:v>
      </x:c>
      <x:c r="AA40" s="18" t="str">
        <x:v>LINK_OK; METADATA_ONLY; RIGHTS_REVIEW_REQUIRED</x:v>
      </x:c>
      <x:c r="AB40" s="18" t="str">
        <x:v>Not established: catalogue record alone provides no text/facsimile.</x:v>
      </x:c>
      <x:c r="AC40" s="48" t="str">
        <x:v>https://kasif.mkutup.gov.tr/</x:v>
      </x:c>
      <x:c r="AD40" s="18" t="str">
        <x:v>2026-09-03</x:v>
      </x:c>
      <x:c r="AE40" s="18" t="str">
        <x:v>Medium</x:v>
      </x:c>
      <x:c r="AF40" s="24" t="str">
        <x:v>Item-level MDP 17 tablets are accessible through CDLI, but the complete volume remains a gap.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41" ht="108" customHeight="1">
      <x:c r="A41" s="23" t="str">
        <x:v>A07-R040</x:v>
      </x:c>
      <x:c r="B41" s="16" t="str">
        <x:v>A07</x:v>
      </x:c>
      <x:c r="C41" s="16" t="str">
        <x:v>core</x:v>
      </x:c>
      <x:c r="D41" s="6" t="str">
        <x:v>Textes de comptabilité proto-élamites (MDP 17) — NLI record</x:v>
      </x:c>
      <x:c r="E41" s="6" t="str">
        <x:v>MDP XVII</x:v>
      </x:c>
      <x:c r="F41" s="6" t="str">
        <x:v>Vincent Scheil</x:v>
      </x:c>
      <x:c r="G41" s="6" t="str">
        <x:v>1923</x:v>
      </x:c>
      <x:c r="H41" s="6" t="str">
        <x:v>translation_or_edition</x:v>
      </x:c>
      <x:c r="I41" s="6" t="str">
        <x:v>Library holding record</x:v>
      </x:c>
      <x:c r="J41" s="6" t="str">
        <x:v>French; proto-Elamite</x:v>
      </x:c>
      <x:c r="K41" s="6" t="str">
        <x:v>Vincent Scheil</x:v>
      </x:c>
      <x:c r="L41" s="6" t="str">
        <x:v>NLI NNL_ALEPH990022438690205171</x:v>
      </x:c>
      <x:c r="M41" s="6" t="str">
        <x:v>National Library of Israel</x:v>
      </x:c>
      <x:c r="N41" s="6" t="str">
        <x:v>library_borrow; metadata_only</x:v>
      </x:c>
      <x:c r="O41" s="6" t="str">
        <x:v>metadata_only</x:v>
      </x:c>
      <x:c r="P41" s="6" t="str">
        <x:v>Catalogue metadata; on-site/library access</x:v>
      </x:c>
      <x:c r="Q41" s="44" t="str">
        <x:v>https://www.nli.org.il/en/books/NNL_ALEPH990022438690205171/NLI</x:v>
      </x:c>
      <x:c r="R41" s="44" t="str"/>
      <x:c r="S41" s="44" t="str">
        <x:v>NNL_ALEPH990022438690205171</x:v>
      </x:c>
      <x:c r="T41" s="6" t="str">
        <x:v>verified_live; page states not available online</x:v>
      </x:c>
      <x:c r="U41" s="18" t="str">
        <x:v>Historical publication; status jurisdiction-dependent.</x:v>
      </x:c>
      <x:c r="V41" s="18" t="str">
        <x:v>No online full copy supplied.</x:v>
      </x:c>
      <x:c r="W41" s="18" t="str">
        <x:v>Metadata only.</x:v>
      </x:c>
      <x:c r="X41" s="18" t="str">
        <x:v>NLI catalogue/reading-room terms.</x:v>
      </x:c>
      <x:c r="Y41" s="18" t="str">
        <x:v>Not available online</x:v>
      </x:c>
      <x:c r="Z41" s="18" t="str">
        <x:v>Library discovery/physical consultation.</x:v>
      </x:c>
      <x:c r="AA41" s="18" t="str">
        <x:v>LINK_OK; LIBRARY_BORROW; METADATA_ONLY</x:v>
      </x:c>
      <x:c r="AB41" s="18" t="str">
        <x:v>Physical consultation could supply a basis; not digitally established here.</x:v>
      </x:c>
      <x:c r="AC41" s="48" t="str">
        <x:v>https://www.nli.org.il/en/terms-of-use</x:v>
      </x:c>
      <x:c r="AD41" s="18" t="str">
        <x:v>2026-09-03</x:v>
      </x:c>
      <x:c r="AE41" s="18" t="str">
        <x:v>Medium</x:v>
      </x:c>
      <x:c r="AF41" s="24" t="str">
        <x:v>A lawful route when a full scan is unavailable.</x:v>
      </x:c>
    </x:row>
    <x:row r="42" ht="108" customHeight="1">
      <x:c r="A42" s="23" t="str">
        <x:v>A07-R041</x:v>
      </x:c>
      <x:c r="B42" s="16" t="str">
        <x:v>A07</x:v>
      </x:c>
      <x:c r="C42" s="16" t="str">
        <x:v>core</x:v>
      </x:c>
      <x:c r="D42" s="6" t="str">
        <x:v>Textes de comptabilité proto-élamites (MDP 26)</x:v>
      </x:c>
      <x:c r="E42" s="6" t="str">
        <x:v>MDP XXVI</x:v>
      </x:c>
      <x:c r="F42" s="6" t="str">
        <x:v>Vincent Scheil</x:v>
      </x:c>
      <x:c r="G42" s="6" t="str">
        <x:v>1935</x:v>
      </x:c>
      <x:c r="H42" s="6" t="str">
        <x:v>translation_or_edition</x:v>
      </x:c>
      <x:c r="I42" s="6" t="str">
        <x:v>National-library catalogue record; no complete legal scan located</x:v>
      </x:c>
      <x:c r="J42" s="6" t="str">
        <x:v>French; proto-Elamite</x:v>
      </x:c>
      <x:c r="K42" s="6" t="str">
        <x:v>Vincent Scheil</x:v>
      </x:c>
      <x:c r="L42" s="6" t="str">
        <x:v>MDP 26; catalogue 0831929</x:v>
      </x:c>
      <x:c r="M42" s="6" t="str">
        <x:v>National Library of Turkey</x:v>
      </x:c>
      <x:c r="N42" s="6" t="str">
        <x:v>metadata_only</x:v>
      </x:c>
      <x:c r="O42" s="6" t="str">
        <x:v>metadata_only</x:v>
      </x:c>
      <x:c r="P42" s="6" t="str">
        <x:v>HTML catalogue metadata</x:v>
      </x:c>
      <x:c r="Q42" s="44" t="str">
        <x:v>https://kasif.mkutup.gov.tr/OpacArama.aspx?Ara=&amp;Auth=scheil&amp;Author=&amp;Dil=eng&amp;Id=0831929&amp;SearchField=0&amp;SearchMenu=1&amp;Title=textes-de-comptabilite-proto-elamites&amp;obra-tek=0831929</x:v>
      </x:c>
      <x:c r="R42" s="44" t="str"/>
      <x:c r="S42" s="44" t="str">
        <x:v>Kâşif 0831929</x:v>
      </x:c>
      <x:c r="T42" s="6" t="str">
        <x:v>verified_catalogue_record</x:v>
      </x:c>
      <x:c r="U42" s="18" t="str">
        <x:v>1935 publication may remain protected in some jurisdictions; status not inferred globally.</x:v>
      </x:c>
      <x:c r="V42" s="18" t="str">
        <x:v>Historical edition rights require jurisdictional review.</x:v>
      </x:c>
      <x:c r="W42" s="18" t="str">
        <x:v>No digital full-text object located.</x:v>
      </x:c>
      <x:c r="X42" s="18" t="str">
        <x:v>Library catalogue terms.</x:v>
      </x:c>
      <x:c r="Y42" s="18" t="str">
        <x:v>metadata only</x:v>
      </x:c>
      <x:c r="Z42" s="18" t="str">
        <x:v>Bibliographic identification only.</x:v>
      </x:c>
      <x:c r="AA42" s="18" t="str">
        <x:v>LINK_OK; METADATA_ONLY; RIGHTS_REVIEW_REQUIRED</x:v>
      </x:c>
      <x:c r="AB42" s="18" t="str">
        <x:v>Not established: no text/facsimile in the catalogue.</x:v>
      </x:c>
      <x:c r="AC42" s="48" t="str">
        <x:v>https://kasif.mkutup.gov.tr/</x:v>
      </x:c>
      <x:c r="AD42" s="18" t="str">
        <x:v>2026-09-03</x:v>
      </x:c>
      <x:c r="AE42" s="18" t="str">
        <x:v>Medium</x:v>
      </x:c>
      <x:c r="AF42" s="24" t="str">
        <x:v>Item-level MDP 26 tablets are accessible through CDLI.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43" ht="108" customHeight="1">
      <x:c r="A43" s="23" t="str">
        <x:v>A07-R042</x:v>
      </x:c>
      <x:c r="B43" s="16" t="str">
        <x:v>A07</x:v>
      </x:c>
      <x:c r="C43" s="16" t="str">
        <x:v>same_corpus_or_tradition</x:v>
      </x:c>
      <x:c r="D43" s="6" t="str">
        <x:v>The Proto-Elamite Texts from Tepe Yahya</x:v>
      </x:c>
      <x:c r="E43" s="6" t="str">
        <x:v>Tepe Yahya publication / American School of Prehistoric Research Bulletin</x:v>
      </x:c>
      <x:c r="F43" s="6" t="str">
        <x:v>C. C. Lamberg-Karlovsky and collaborators</x:v>
      </x:c>
      <x:c r="G43" s="6" t="str">
        <x:v>1971</x:v>
      </x:c>
      <x:c r="H43" s="6" t="str">
        <x:v>translation_or_edition</x:v>
      </x:c>
      <x:c r="I43" s="6" t="str">
        <x:v>Institutional-repository complete book scan</x:v>
      </x:c>
      <x:c r="J43" s="6" t="str">
        <x:v>English; proto-Elamite plates/transcriptions</x:v>
      </x:c>
      <x:c r="K43" s="6" t="str"/>
      <x:c r="L43" s="6" t="str"/>
      <x:c r="M43" s="6" t="str">
        <x:v>Stony Brook University Academic Commons</x:v>
      </x:c>
      <x:c r="N43" s="6" t="str">
        <x:v>free_full_read; free_download</x:v>
      </x:c>
      <x:c r="O43" s="6" t="str">
        <x:v>complete_work_or_corpus</x:v>
      </x:c>
      <x:c r="P43" s="6" t="str">
        <x:v>PDF</x:v>
      </x:c>
      <x:c r="Q43" s="44" t="str">
        <x:v>https://commons.library.stonybrook.edu/amar/421/</x:v>
      </x:c>
      <x:c r="R43" s="44" t="str">
        <x:v>https://commons.library.stonybrook.edu/cgi/viewcontent.cgi?article=1421&amp;context=amar</x:v>
      </x:c>
      <x:c r="S43" s="44" t="str">
        <x:v>Stony Brook AMAR 421</x:v>
      </x:c>
      <x:c r="T43" s="6" t="str">
        <x:v>verified_official_repository; explicit OA license not located</x:v>
      </x:c>
      <x:c r="U43" s="18" t="str">
        <x:v>1971 scholarly publication is presumptively in copyright unless a license applies.</x:v>
      </x:c>
      <x:c r="V43" s="18" t="str">
        <x:v>No clear open reuse license surfaced on the repository landing page.</x:v>
      </x:c>
      <x:c r="W43" s="18" t="str">
        <x:v>Free institutional download; redistribution right not established.</x:v>
      </x:c>
      <x:c r="X43" s="18" t="str">
        <x:v>Stony Brook repository terms.</x:v>
      </x:c>
      <x:c r="Y43" s="18" t="str">
        <x:v>free access; rights not explicitly licensed</x:v>
      </x:c>
      <x:c r="Z43" s="18" t="str">
        <x:v>Read, download and local research copy; public mirror requires permission/review.</x:v>
      </x:c>
      <x:c r="AA43" s="18" t="str">
        <x:v>LINK_OK; FREE_READ; FREE_DOWNLOAD; LOCAL_RESEARCH_COPY; LINK_ONLY; RIGHTS_REVIEW_REQUIRED</x:v>
      </x:c>
      <x:c r="AB43" s="18" t="str">
        <x:v>The book reproduces witnesses and readings, but the modern edition remains protected; use public-domain/authorized images or CDLI witness layers for an independently distributable translation.</x:v>
      </x:c>
      <x:c r="AC43" s="48" t="str">
        <x:v>https://commons.library.stonybrook.edu/amar/421/</x:v>
      </x:c>
      <x:c r="AD43" s="18" t="str">
        <x:v>2026-09-03</x:v>
      </x:c>
      <x:c r="AE43" s="18" t="str">
        <x:v>Medium</x:v>
      </x:c>
      <x:c r="AF43" s="24" t="str">
        <x:v>Best complete digital route to this regional subcorpus, despite uncertain reuse rights.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44" ht="108" customHeight="1">
      <x:c r="A44" s="23" t="str">
        <x:v>A07-R043</x:v>
      </x:c>
      <x:c r="B44" s="16" t="str">
        <x:v>A07</x:v>
      </x:c>
      <x:c r="C44" s="16" t="str">
        <x:v>core</x:v>
      </x:c>
      <x:c r="D44" s="6" t="str">
        <x:v>Linear Elamite Inscriptions and Related Cuneiform Texts, I: Linear Elamite Texts from Susa</x:v>
      </x:c>
      <x:c r="E44" s="6" t="str">
        <x:v>Iscrizioni elamite lineari e testi cuneiformi collegati, I</x:v>
      </x:c>
      <x:c r="F44" s="6" t="str">
        <x:v>François Desset</x:v>
      </x:c>
      <x:c r="G44" s="6" t="str">
        <x:v>2026</x:v>
      </x:c>
      <x:c r="H44" s="6" t="str">
        <x:v>translation_or_edition</x:v>
      </x:c>
      <x:c r="I44" s="6" t="str">
        <x:v>OrientLab Series Maior 10, complete official digital edition</x:v>
      </x:c>
      <x:c r="J44" s="6" t="str">
        <x:v>English; Linear Elamite; Akkadian; French/Italian bibliographic contexts</x:v>
      </x:c>
      <x:c r="K44" s="6" t="str">
        <x:v>François Desset</x:v>
      </x:c>
      <x:c r="L44" s="6" t="str">
        <x:v>OrientLab Series Maior 10; ISBN 9788894561983</x:v>
      </x:c>
      <x:c r="M44" s="6" t="str">
        <x:v>OrientLab / Ante Quem</x:v>
      </x:c>
      <x:c r="N44" s="6" t="str">
        <x:v>free_full_read; free_download</x:v>
      </x:c>
      <x:c r="O44" s="6" t="str">
        <x:v>complete_work_or_corpus</x:v>
      </x:c>
      <x:c r="P44" s="6" t="str">
        <x:v>PDF</x:v>
      </x:c>
      <x:c r="Q44" s="44" t="str">
        <x:v>https://www.orientlab.net/pubs/</x:v>
      </x:c>
      <x:c r="R44" s="44" t="str">
        <x:v>https://www.orientlab.net/download/588/?tmstv=1785922356</x:v>
      </x:c>
      <x:c r="S44" s="44" t="str">
        <x:v>ISBN 9788894561983</x:v>
      </x:c>
      <x:c r="T44" s="6" t="str">
        <x:v>verified_official_full_PDF_and_current_edition</x:v>
      </x:c>
      <x:c r="U44" s="18" t="str">
        <x:v>Ancient inscriptions are outside copyright; modern readings, reconstruction, translation, drawings and apparatus are protected.</x:v>
      </x:c>
      <x:c r="V44" s="18" t="str">
        <x:v>2026 critical edition in copyright; no explicit open license found.</x:v>
      </x:c>
      <x:c r="W44" s="18" t="str">
        <x:v>Officially free PDF, but repeat distribution/derivative use is not expressly licensed.</x:v>
      </x:c>
      <x:c r="X44" s="18" t="str">
        <x:v>OrientLab/Ante Quem terms; link to official full PDF.</x:v>
      </x:c>
      <x:c r="Y44" s="18" t="str">
        <x:v>In Copyright; official free download; reuse license not located</x:v>
      </x:c>
      <x:c r="Z44" s="18" t="str">
        <x:v>Full read/download and local research; link-only for public delivery unless permission is secured.</x:v>
      </x:c>
      <x:c r="AA44" s="18" t="str">
        <x:v>LINK_OK; FREE_READ; FREE_DOWNLOAD; LOCAL_RESEARCH_COPY; LINK_ONLY; RIGHTS_REVIEW_REQUIRED</x:v>
      </x:c>
      <x:c r="AB44" s="18" t="str">
        <x:v>Protected critical readings cannot automatically be republished as the basis of a new translation; use witness images/open transcriptions and cite this edition for scholarly comparison.</x:v>
      </x:c>
      <x:c r="AC44" s="48" t="str">
        <x:v>https://www.orientlab.net/pubs/</x:v>
      </x:c>
      <x:c r="AD44" s="18" t="str">
        <x:v>2026-09-03</x:v>
      </x:c>
      <x:c r="AE44" s="18" t="str">
        <x:v>High</x:v>
      </x:c>
      <x:c r="AF44" s="24" t="str">
        <x:v>Best current scholarly edition found. It supersedes the Hatamti about page’s stale forthcoming notice.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45" ht="108" customHeight="1">
      <x:c r="A45" s="23" t="str">
        <x:v>A07-R044</x:v>
      </x:c>
      <x:c r="B45" s="16" t="str">
        <x:v>A07</x:v>
      </x:c>
      <x:c r="C45" s="16" t="str">
        <x:v>core</x:v>
      </x:c>
      <x:c r="D45" s="6" t="str">
        <x:v>Linear Elamite Inscriptions and Related Cuneiform Texts, I — print purchase</x:v>
      </x:c>
      <x:c r="E45" s="6" t="str">
        <x:v>OrientLab Series Maior 10</x:v>
      </x:c>
      <x:c r="F45" s="6" t="str">
        <x:v>François Desset</x:v>
      </x:c>
      <x:c r="G45" s="6" t="str">
        <x:v>2026</x:v>
      </x:c>
      <x:c r="H45" s="6" t="str">
        <x:v>translation_or_edition</x:v>
      </x:c>
      <x:c r="I45" s="6" t="str">
        <x:v>Printed critical edition</x:v>
      </x:c>
      <x:c r="J45" s="6" t="str">
        <x:v>English; Linear Elamite; Akkadian</x:v>
      </x:c>
      <x:c r="K45" s="6" t="str">
        <x:v>François Desset</x:v>
      </x:c>
      <x:c r="L45" s="6" t="str">
        <x:v>ISBN 9788894561983</x:v>
      </x:c>
      <x:c r="M45" s="6" t="str">
        <x:v>Ante Quem</x:v>
      </x:c>
      <x:c r="N45" s="6" t="str">
        <x:v>purchase</x:v>
      </x:c>
      <x:c r="O45" s="6" t="str">
        <x:v>complete_work_or_corpus</x:v>
      </x:c>
      <x:c r="P45" s="6" t="str">
        <x:v>Print book</x:v>
      </x:c>
      <x:c r="Q45" s="44" t="str">
        <x:v>https://www.antequem.it/pub_detail.php?id=275</x:v>
      </x:c>
      <x:c r="R45" s="44" t="str"/>
      <x:c r="S45" s="44" t="str">
        <x:v>ISBN 9788894561983</x:v>
      </x:c>
      <x:c r="T45" s="6" t="str">
        <x:v>verified_official_publisher_page</x:v>
      </x:c>
      <x:c r="U45" s="18" t="str">
        <x:v>Ancient texts outside copyright; modern edition protected.</x:v>
      </x:c>
      <x:c r="V45" s="18" t="str">
        <x:v>In Copyright.</x:v>
      </x:c>
      <x:c r="W45" s="18" t="str">
        <x:v>Not applicable to print purchase.</x:v>
      </x:c>
      <x:c r="X45" s="18" t="str">
        <x:v>Publisher sale terms.</x:v>
      </x:c>
      <x:c r="Y45" s="18" t="str">
        <x:v>In Copyright</x:v>
      </x:c>
      <x:c r="Z45" s="18" t="str">
        <x:v>Purchase/consultation; no reuse rights conveyed beyond normal ownership.</x:v>
      </x:c>
      <x:c r="AA45" s="18" t="str">
        <x:v>LINK_OK; PURCHASE; LINK_ONLY</x:v>
      </x:c>
      <x:c r="AB45" s="18" t="str">
        <x:v>Not a clean open basis; scholarly control edition only.</x:v>
      </x:c>
      <x:c r="AC45" s="48" t="str">
        <x:v>https://www.antequem.it/pub_detail.php?id=275</x:v>
      </x:c>
      <x:c r="AD45" s="18" t="str">
        <x:v>2026-09-03</x:v>
      </x:c>
      <x:c r="AE45" s="18" t="str">
        <x:v>High</x:v>
      </x:c>
      <x:c r="AF45" s="24" t="str">
        <x:v>Included as a lawful durable access path even though a free official PDF exists.</x:v>
      </x:c>
    </x:row>
    <x:row r="46" ht="108" customHeight="1">
      <x:c r="A46" s="23" t="str">
        <x:v>A07-R045</x:v>
      </x:c>
      <x:c r="B46" s="16" t="str">
        <x:v>A07</x:v>
      </x:c>
      <x:c r="C46" s="16" t="str">
        <x:v>secondary_navigation</x:v>
      </x:c>
      <x:c r="D46" s="6" t="str">
        <x:v>Linear Elamite Inscriptions and Related Cuneiform Texts, I — ORBi record/excerpt</x:v>
      </x:c>
      <x:c r="E46" s="6" t="str">
        <x:v>ORBi handle 2268/348212</x:v>
      </x:c>
      <x:c r="F46" s="6" t="str">
        <x:v>François Desset</x:v>
      </x:c>
      <x:c r="G46" s="6" t="str">
        <x:v>2026</x:v>
      </x:c>
      <x:c r="H46" s="6" t="str">
        <x:v>secondary_navigation</x:v>
      </x:c>
      <x:c r="I46" s="6" t="str">
        <x:v>Institutional repository metadata plus deposited front matter/TOC excerpt</x:v>
      </x:c>
      <x:c r="J46" s="6" t="str">
        <x:v>English</x:v>
      </x:c>
      <x:c r="K46" s="6" t="str"/>
      <x:c r="L46" s="6" t="str"/>
      <x:c r="M46" s="6" t="str">
        <x:v>ORBi, Université de Liège</x:v>
      </x:c>
      <x:c r="N46" s="6" t="str">
        <x:v>free_download; metadata_only</x:v>
      </x:c>
      <x:c r="O46" s="6" t="str">
        <x:v>selected_sections</x:v>
      </x:c>
      <x:c r="P46" s="6" t="str">
        <x:v>HTML; PDF excerpt; bibliographic export</x:v>
      </x:c>
      <x:c r="Q46" s="44" t="str">
        <x:v>https://orbi.uliege.be/handle/2268/348212</x:v>
      </x:c>
      <x:c r="R46" s="44" t="str"/>
      <x:c r="S46" s="44" t="str">
        <x:v>hdl:2268/348212</x:v>
      </x:c>
      <x:c r="T46" s="6" t="str">
        <x:v>verified; deposited file is excerpt, not full book</x:v>
      </x:c>
      <x:c r="U46" s="18" t="str">
        <x:v>Modern publication in copyright.</x:v>
      </x:c>
      <x:c r="V46" s="18" t="str">
        <x:v>ORBi user license applies only to the deposited excerpt.</x:v>
      </x:c>
      <x:c r="W46" s="18" t="str">
        <x:v>Noncommercial reading/downloading/copying/distribution/indexing allowed for deposited file; modification/summarization not allowed without permission.</x:v>
      </x:c>
      <x:c r="X46" s="18" t="str">
        <x:v>ORBi user license.</x:v>
      </x:c>
      <x:c r="Y46" s="18" t="str">
        <x:v>ORBi user license: noncommercial, unchanged distribution of deposited file</x:v>
      </x:c>
      <x:c r="Z46" s="18" t="str">
        <x:v>Front matter/contents excerpt only, not the full critical edition.</x:v>
      </x:c>
      <x:c r="AA46" s="18" t="str">
        <x:v>LINK_OK; FREE_DOWNLOAD; LOCAL_RESEARCH_COPY; MIRROR_NONCOMMERCIAL; UNCHANGED_ONLY; FULLTEXT_INDEX_OK</x:v>
      </x:c>
      <x:c r="AB46" s="18" t="str">
        <x:v>No ancient text basis in the excerpt.</x:v>
      </x:c>
      <x:c r="AC46" s="48" t="str">
        <x:v>https://orbi.uliege.be/page/user-license</x:v>
      </x:c>
      <x:c r="AD46" s="18" t="str">
        <x:v>2026-09-03</x:v>
      </x:c>
      <x:c r="AE46" s="18" t="str">
        <x:v>High</x:v>
      </x:c>
      <x:c r="AF46" s="24" t="str">
        <x:v>Do not confuse this excerpt with the full official OrientLab PDF.</x:v>
      </x:c>
    </x:row>
    <x:row r="47" ht="108" customHeight="1">
      <x:c r="A47" s="23" t="str">
        <x:v>A07-R046</x:v>
      </x:c>
      <x:c r="B47" s="16" t="str">
        <x:v>A07</x:v>
      </x:c>
      <x:c r="C47" s="16" t="str">
        <x:v>core</x:v>
      </x:c>
      <x:c r="D47" s="6" t="str">
        <x:v>Corpus of Linear Elamite silver-vessel inscriptions</x:v>
      </x:c>
      <x:c r="E47" s="6" t="str">
        <x:v>Gunagi silver vessels / Linear Elamite metal-vessel corpus</x:v>
      </x:c>
      <x:c r="F47" s="6" t="str">
        <x:v>Various ancient workshops; modern corpus edited by François Desset and others</x:v>
      </x:c>
      <x:c r="G47" s="6" t="str">
        <x:v>late 3rd to early 2nd millennium BCE (disputed individual provenances)</x:v>
      </x:c>
      <x:c r="H47" s="6" t="str">
        <x:v>corpus</x:v>
      </x:c>
      <x:c r="I47" s="6" t="str">
        <x:v>Modern dispersed corpus: journal edition, CDLI/GEAS/Hatamti entries, private/public collections</x:v>
      </x:c>
      <x:c r="J47" s="6" t="str">
        <x:v>Linear Elamite</x:v>
      </x:c>
      <x:c r="K47" s="6" t="str"/>
      <x:c r="L47" s="6" t="str">
        <x:v>LEI vessel inscriptions; multiple object IDs</x:v>
      </x:c>
      <x:c r="M47" s="6" t="str">
        <x:v>Hatamti; GEAS; CDLI; journals; collections</x:v>
      </x:c>
      <x:c r="N47" s="6" t="str">
        <x:v>free_full_read; preview_or_snippet; institutional_access; purchase</x:v>
      </x:c>
      <x:c r="O47" s="6" t="str">
        <x:v>selected_sections</x:v>
      </x:c>
      <x:c r="P47" s="6" t="str">
        <x:v>HTML corpus records; images/drawings; journal PDF via subscription; item metadata</x:v>
      </x:c>
      <x:c r="Q47" s="44" t="str">
        <x:v>https://hatamti-elam.uliege.be/</x:v>
      </x:c>
      <x:c r="R47" s="44" t="str"/>
      <x:c r="S47" s="44" t="str">
        <x:v>Linear Elamite silver-vessel corpus</x:v>
      </x:c>
      <x:c r="T47" s="6" t="str">
        <x:v>partially_verified; item-level provenance and rights vary</x:v>
      </x:c>
      <x:c r="U47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47" s="18" t="str">
        <x:v>Modern readings/edition protected; authenticity and archaeological provenance are debated for some objects.</x:v>
      </x:c>
      <x:c r="W47" s="18" t="str">
        <x:v>Images frequently belong to museums, dealers, private collections or publishers.</x:v>
      </x:c>
      <x:c r="X47" s="18" t="str">
        <x:v>Component-specific.</x:v>
      </x:c>
      <x:c r="Y47" s="18" t="str">
        <x:v>mixed / review required</x:v>
      </x:c>
      <x:c r="Z47" s="18" t="str">
        <x:v>Link to corpus records and individual lawful pages; no blanket mirroring of images or modern edition.</x:v>
      </x:c>
      <x:c r="AA47" s="18" t="str">
        <x:v>LINK_OK; FREE_READ; PREVIEW_ONLY; PURCHASE; LINK_ONLY; RIGHTS_REVIEW_REQUIRED</x:v>
      </x:c>
      <x:c r="AB47" s="18" t="str">
        <x:v>Only individual witnesses with lawfully accessible facsimile and a separable ancient inscription can support a scoped independent translation.</x:v>
      </x:c>
      <x:c r="AC47" s="48" t="str">
        <x:v>https://hatamti-elam.uliege.be/doc_about</x:v>
      </x:c>
      <x:c r="AD47" s="18" t="str">
        <x:v>2026-09-03</x:v>
      </x:c>
      <x:c r="AE47" s="18" t="str">
        <x:v>Medium</x:v>
      </x:c>
      <x:c r="AF47" s="24" t="str">
        <x:v>Included as a central expanded corpus outside the older Puzur-Inshushinak dossier; unprovenanced pieces require authentication/provenance flags.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48" ht="108" customHeight="1">
      <x:c r="A48" s="23" t="str">
        <x:v>A07-R047</x:v>
      </x:c>
      <x:c r="B48" s="16" t="str">
        <x:v>A07</x:v>
      </x:c>
      <x:c r="C48" s="16" t="str">
        <x:v>core</x:v>
      </x:c>
      <x:c r="D48" s="6" t="str">
        <x:v>Nine Linear Elamite Texts Inscribed on Silver Gunagi Vessels</x:v>
      </x:c>
      <x:c r="E48" s="6" t="str"/>
      <x:c r="F48" s="6" t="str">
        <x:v>François Desset</x:v>
      </x:c>
      <x:c r="G48" s="6" t="str">
        <x:v>2018</x:v>
      </x:c>
      <x:c r="H48" s="6" t="str">
        <x:v>translation_or_edition</x:v>
      </x:c>
      <x:c r="I48" s="6" t="str">
        <x:v>Современное защищённое научное издание</x:v>
      </x:c>
      <x:c r="J48" s="6" t="str">
        <x:v>English</x:v>
      </x:c>
      <x:c r="K48" s="6" t="str"/>
      <x:c r="L48" s="6" t="str"/>
      <x:c r="M48" s="6" t="str">
        <x:v>Iran / Taylor &amp; Francis</x:v>
      </x:c>
      <x:c r="N48" s="6" t="str">
        <x:v>institutional_access; preview_or_snippet; purchase</x:v>
      </x:c>
      <x:c r="O48" s="6" t="str">
        <x:v>substantial_part</x:v>
      </x:c>
      <x:c r="P48" s="6" t="str">
        <x:v>HTML preview/metadata; PDF/eBook or print subject to access</x:v>
      </x:c>
      <x:c r="Q48" s="44" t="str">
        <x:v>https://www.tandfonline.com/doi/full/10.1080/05786967.2018.1588535</x:v>
      </x:c>
      <x:c r="R48" s="44" t="str"/>
      <x:c r="S48" s="44" t="str">
        <x:v>10.1080/05786967.2018.1588535</x:v>
      </x:c>
      <x:c r="T48" s="6" t="str">
        <x:v>verified_live</x:v>
      </x:c>
      <x:c r="U48" s="18" t="str">
        <x:v>Современная работа in copyright.</x:v>
      </x:c>
      <x:c r="V48" s="18" t="str">
        <x:v>Защищённое издание; чтение по подписке, покупке или библиотечному доступу.</x:v>
      </x:c>
      <x:c r="W48" s="18" t="str">
        <x:v>Право повторного распространения не установлено.</x:v>
      </x:c>
      <x:c r="X48" s="18" t="str">
        <x:v>Publisher terms; institutional login or purchase.</x:v>
      </x:c>
      <x:c r="Y48" s="18" t="str">
        <x:v>In Copyright</x:v>
      </x:c>
      <x:c r="Z48" s="18" t="str">
        <x:v>Link/preview/borrow/purchase only unless a separate license is obtained.</x:v>
      </x:c>
      <x:c r="AA48" s="18" t="str">
        <x:v>LINK_OK; PREVIEW_ONLY; PURCHASE; LINK_ONLY; LIBRARY_BORROW</x:v>
      </x:c>
      <x:c r="AB48" s="18" t="str">
        <x:v>Защищённый современный научный текст не является чистой основой для свободного собственного перевода древнего корпуса.</x:v>
      </x:c>
      <x:c r="AC48" s="48" t="str">
        <x:v>https://www.tandfonline.com/doi/full/10.1080/05786967.2018.1588535</x:v>
      </x:c>
      <x:c r="AD48" s="18" t="str">
        <x:v>2026-09-03</x:v>
      </x:c>
      <x:c r="AE48" s="18" t="str">
        <x:v>High</x:v>
      </x:c>
      <x:c r="AF48" s="24" t="str">
        <x:v>Key edition of the vessel texts; publisher access may expose abstract/preview, with full text by institution or purchase.</x:v>
      </x:c>
    </x:row>
    <x:row r="49" ht="108" customHeight="1">
      <x:c r="A49" s="23" t="str">
        <x:v>A07-R048</x:v>
      </x:c>
      <x:c r="B49" s="16" t="str">
        <x:v>A07</x:v>
      </x:c>
      <x:c r="C49" s="16" t="str">
        <x:v>infrastructure</x:v>
      </x:c>
      <x:c r="D49" s="6" t="str">
        <x:v>MDP 31 and TCL 32 item-level access via CDLI</x:v>
      </x:c>
      <x:c r="E49" s="6" t="str">
        <x:v>MDP 31 / TCL 32 publication filters</x:v>
      </x:c>
      <x:c r="F49" s="6" t="str">
        <x:v>Original editors; CDLI cataloguers</x:v>
      </x:c>
      <x:c r="G49" s="6" t="str">
        <x:v>20th-century editions; ancient tablets c. 3100–2900 BCE</x:v>
      </x:c>
      <x:c r="H49" s="6" t="str">
        <x:v>digital_project_or_catalogue</x:v>
      </x:c>
      <x:c r="I49" s="6" t="str">
        <x:v>Publication-filtered item records, not complete volume scans</x:v>
      </x:c>
      <x:c r="J49" s="6" t="str">
        <x:v>French bibliographic metadata; proto-Elamite</x:v>
      </x:c>
      <x:c r="K49" s="6" t="str"/>
      <x:c r="L49" s="6" t="str">
        <x:v>MDP 31; TCL 32</x:v>
      </x:c>
      <x:c r="M49" s="6" t="str">
        <x:v>CDLI</x:v>
      </x:c>
      <x:c r="N49" s="6" t="str">
        <x:v>free_full_read; free_download</x:v>
      </x:c>
      <x:c r="O49" s="6" t="str">
        <x:v>selected_sections</x:v>
      </x:c>
      <x:c r="P49" s="6" t="str">
        <x:v>HTML; item-level exports; images where present</x:v>
      </x:c>
      <x:c r="Q49" s="44" t="str">
        <x:v>https://cdli.earth/search?layout=full&amp;publication=TCL+32</x:v>
      </x:c>
      <x:c r="R49" s="44" t="str"/>
      <x:c r="S49" s="44" t="str">
        <x:v>CDLI publication filters MDP 31 / TCL 32</x:v>
      </x:c>
      <x:c r="T49" s="6" t="str">
        <x:v>verified_as_discovery_route; completeness not asserted</x:v>
      </x:c>
      <x:c r="U49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49" s="18" t="str">
        <x:v>Modern edition and CDLI record rights separate.</x:v>
      </x:c>
      <x:c r="W49" s="18" t="str">
        <x:v>Item-level mixed rights.</x:v>
      </x:c>
      <x:c r="X49" s="18" t="str">
        <x:v>CDLI terms.</x:v>
      </x:c>
      <x:c r="Y49" s="18" t="str">
        <x:v>rights mixed / review required</x:v>
      </x:c>
      <x:c r="Z49" s="18" t="str">
        <x:v>Digital entry to individual tablets; not a full digital copy of either printed volume.</x:v>
      </x:c>
      <x:c r="AA49" s="18" t="str">
        <x:v>LINK_OK; FREE_READ; FREE_DOWNLOAD; LOCAL_RESEARCH_COPY; RIGHTS_REVIEW_REQUIRED</x:v>
      </x:c>
      <x:c r="AB49" s="18" t="str">
        <x:v>Individual witnesses only.</x:v>
      </x:c>
      <x:c r="AC49" s="48" t="str">
        <x:v>https://cdli.earth/terms-of-use</x:v>
      </x:c>
      <x:c r="AD49" s="18" t="str">
        <x:v>2026-09-03</x:v>
      </x:c>
      <x:c r="AE49" s="18" t="str">
        <x:v>Medium</x:v>
      </x:c>
      <x:c r="AF49" s="24" t="str">
        <x:v>Complete legal scans of MDP 31 and TCL 32 were not found and are listed as gaps.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50" ht="108" customHeight="1">
      <x:c r="A50" s="23" t="str">
        <x:v>A07-R049</x:v>
      </x:c>
      <x:c r="B50" s="16" t="str">
        <x:v>A07</x:v>
      </x:c>
      <x:c r="C50" s="16" t="str">
        <x:v>supporting</x:v>
      </x:c>
      <x:c r="D50" s="6" t="str">
        <x:v>Proto-Elamite Sign Frequencies</x:v>
      </x:c>
      <x:c r="E50" s="6" t="str"/>
      <x:c r="F50" s="6" t="str">
        <x:v>Jacob L. Dahl</x:v>
      </x:c>
      <x:c r="G50" s="6" t="str">
        <x:v>2002</x:v>
      </x:c>
      <x:c r="H50" s="6" t="str">
        <x:v>translation_or_edition</x:v>
      </x:c>
      <x:c r="I50" s="6" t="str">
        <x:v>Научная публикация / современный исследовательский слой</x:v>
      </x:c>
      <x:c r="J50" s="6" t="str">
        <x:v>English</x:v>
      </x:c>
      <x:c r="K50" s="6" t="str"/>
      <x:c r="L50" s="6" t="str"/>
      <x:c r="M50" s="6" t="str">
        <x:v>Cuneiform Digital Library Bulletin</x:v>
      </x:c>
      <x:c r="N50" s="6" t="str">
        <x:v>free_full_read; free_download</x:v>
      </x:c>
      <x:c r="O50" s="6" t="str">
        <x:v>complete_work_or_corpus</x:v>
      </x:c>
      <x:c r="P50" s="6" t="str">
        <x:v>HTML; PDF</x:v>
      </x:c>
      <x:c r="Q50" s="44" t="str">
        <x:v>https://cdli.earth/articles/cdlb/2002-1</x:v>
      </x:c>
      <x:c r="R50" s="44" t="str">
        <x:v>https://cdli.earth/articles/cdlb/2002-1.pdf</x:v>
      </x:c>
      <x:c r="S50" s="44" t="str">
        <x:v>CDLB 2002:1</x:v>
      </x:c>
      <x:c r="T50" s="6" t="str">
        <x:v>verified_live_and_rights_checked</x:v>
      </x:c>
      <x:c r="U50" s="18" t="str">
        <x:v>Современная научная работа защищена авторским правом.</x:v>
      </x:c>
      <x:c r="V50" s="18" t="str">
        <x:v>Современный текст/редакция охраняются согласно указанной лицензии или условиям репозитория.</x:v>
      </x:c>
      <x:c r="W50" s="18" t="str">
        <x:v>CC BY 4.0 for article text; third-party images may retain separate rights</x:v>
      </x:c>
      <x:c r="X50" s="18" t="str">
        <x:v>CC BY 4.0 for article text; third-party images may retain separate rights</x:v>
      </x:c>
      <x:c r="Y50" s="18" t="str">
        <x:v>CC BY 4.0 for article text; third-party images may retain separate rights</x:v>
      </x:c>
      <x:c r="Z50" s="18" t="str">
        <x:v>Текст статьи и официальный файл; права на включённые изображения древних объектов и данные третьих лиц могут отличаться.</x:v>
      </x:c>
      <x:c r="AA50" s="18" t="str">
        <x:v>LINK_OK; FREE_READ; FREE_DOWNLOAD; LOCAL_RESEARCH_COPY; MIRROR_WITH_ATTRIBUTION; OCR_OK; FULLTEXT_INDEX_OK; EMBEDDINGS_OK</x:v>
      </x:c>
      <x:c r="AB50" s="18" t="str">
        <x:v>Не самостоятельная чистая основа для нового перевода древнего корпуса; использовать как научный комментарий, транслитерационную сверку или описание метода.</x:v>
      </x:c>
      <x:c r="AC50" s="48" t="str">
        <x:v>https://cdli.earth/articles/cdlb/2002-1</x:v>
      </x:c>
      <x:c r="AD50" s="18" t="str">
        <x:v>2026-09-03</x:v>
      </x:c>
      <x:c r="AE50" s="18" t="str">
        <x:v>Medium</x:v>
      </x:c>
      <x:c r="AF50" s="24" t="str">
        <x:v>Foundational sign-frequency registry/tool for corpus-wide comparison; named in the source DR.</x:v>
      </x:c>
    </x:row>
    <x:row r="51" ht="108" customHeight="1">
      <x:c r="A51" s="23" t="str">
        <x:v>A07-R050</x:v>
      </x:c>
      <x:c r="B51" s="16" t="str">
        <x:v>A07</x:v>
      </x:c>
      <x:c r="C51" s="16" t="str">
        <x:v>supporting</x:v>
      </x:c>
      <x:c r="D51" s="6" t="str">
        <x:v>Complex Graphemes in Proto-Elamite</x:v>
      </x:c>
      <x:c r="E51" s="6" t="str"/>
      <x:c r="F51" s="6" t="str">
        <x:v>Jacob L. Dahl</x:v>
      </x:c>
      <x:c r="G51" s="6" t="str">
        <x:v>2005</x:v>
      </x:c>
      <x:c r="H51" s="6" t="str">
        <x:v>translation_or_edition</x:v>
      </x:c>
      <x:c r="I51" s="6" t="str">
        <x:v>Научная публикация / современный исследовательский слой</x:v>
      </x:c>
      <x:c r="J51" s="6" t="str">
        <x:v>English</x:v>
      </x:c>
      <x:c r="K51" s="6" t="str"/>
      <x:c r="L51" s="6" t="str"/>
      <x:c r="M51" s="6" t="str">
        <x:v>Cuneiform Digital Library Journal</x:v>
      </x:c>
      <x:c r="N51" s="6" t="str">
        <x:v>free_full_read; free_download</x:v>
      </x:c>
      <x:c r="O51" s="6" t="str">
        <x:v>complete_work_or_corpus</x:v>
      </x:c>
      <x:c r="P51" s="6" t="str">
        <x:v>HTML; PDF</x:v>
      </x:c>
      <x:c r="Q51" s="44" t="str">
        <x:v>https://cdli.earth/articles/cdlj/2005-3</x:v>
      </x:c>
      <x:c r="R51" s="44" t="str">
        <x:v>https://cdli.earth/articles/cdlj/2005-3.pdf</x:v>
      </x:c>
      <x:c r="S51" s="44" t="str">
        <x:v>CDLJ 2005:3</x:v>
      </x:c>
      <x:c r="T51" s="6" t="str">
        <x:v>verified_live_and_rights_checked</x:v>
      </x:c>
      <x:c r="U51" s="18" t="str">
        <x:v>Современная научная работа защищена авторским правом.</x:v>
      </x:c>
      <x:c r="V51" s="18" t="str">
        <x:v>Современный текст/редакция охраняются согласно указанной лицензии или условиям репозитория.</x:v>
      </x:c>
      <x:c r="W51" s="18" t="str">
        <x:v>CC BY 4.0 for article text; third-party images may retain separate rights</x:v>
      </x:c>
      <x:c r="X51" s="18" t="str">
        <x:v>CC BY 4.0 for article text; third-party images may retain separate rights</x:v>
      </x:c>
      <x:c r="Y51" s="18" t="str">
        <x:v>CC BY 4.0 for article text; third-party images may retain separate rights</x:v>
      </x:c>
      <x:c r="Z51" s="18" t="str">
        <x:v>Текст статьи и официальный файл; права на включённые изображения древних объектов и данные третьих лиц могут отличаться.</x:v>
      </x:c>
      <x:c r="AA51" s="18" t="str">
        <x:v>LINK_OK; FREE_READ; FREE_DOWNLOAD; LOCAL_RESEARCH_COPY; MIRROR_WITH_ATTRIBUTION; OCR_OK; FULLTEXT_INDEX_OK; EMBEDDINGS_OK</x:v>
      </x:c>
      <x:c r="AB51" s="18" t="str">
        <x:v>Не самостоятельная чистая основа для нового перевода древнего корпуса; использовать как научный комментарий, транслитерационную сверку или описание метода.</x:v>
      </x:c>
      <x:c r="AC51" s="48" t="str">
        <x:v>https://cdli.earth/articles/cdlj/2005-3</x:v>
      </x:c>
      <x:c r="AD51" s="18" t="str">
        <x:v>2026-09-03</x:v>
      </x:c>
      <x:c r="AE51" s="18" t="str">
        <x:v>Medium</x:v>
      </x:c>
      <x:c r="AF51" s="24" t="str">
        <x:v>Core sign-list and grapheme-structure aid; directly relevant to machine-readable analysis.</x:v>
      </x:c>
    </x:row>
    <x:row r="52" ht="108" customHeight="1">
      <x:c r="A52" s="23" t="str">
        <x:v>A07-R051</x:v>
      </x:c>
      <x:c r="B52" s="16" t="str">
        <x:v>A07</x:v>
      </x:c>
      <x:c r="C52" s="16" t="str">
        <x:v>supporting</x:v>
      </x:c>
      <x:c r="D52" s="6" t="str">
        <x:v>New Joins among the Proto-Elamite Tablets in the Louvre</x:v>
      </x:c>
      <x:c r="E52" s="6" t="str"/>
      <x:c r="F52" s="6" t="str">
        <x:v>CDLI Notes contributors</x:v>
      </x:c>
      <x:c r="G52" s="6" t="str">
        <x:v>2012</x:v>
      </x:c>
      <x:c r="H52" s="6" t="str">
        <x:v>translation_or_edition</x:v>
      </x:c>
      <x:c r="I52" s="6" t="str">
        <x:v>Научная публикация / современный исследовательский слой</x:v>
      </x:c>
      <x:c r="J52" s="6" t="str">
        <x:v>English</x:v>
      </x:c>
      <x:c r="K52" s="6" t="str"/>
      <x:c r="L52" s="6" t="str"/>
      <x:c r="M52" s="6" t="str">
        <x:v>Cuneiform Digital Library Notes</x:v>
      </x:c>
      <x:c r="N52" s="6" t="str">
        <x:v>free_full_read; free_download</x:v>
      </x:c>
      <x:c r="O52" s="6" t="str">
        <x:v>complete_work_or_corpus</x:v>
      </x:c>
      <x:c r="P52" s="6" t="str">
        <x:v>HTML; PDF</x:v>
      </x:c>
      <x:c r="Q52" s="44" t="str">
        <x:v>https://cdli.earth/articles/cdln/2012-6</x:v>
      </x:c>
      <x:c r="R52" s="44" t="str">
        <x:v>https://cdli.earth/articles/cdln/2012-6.pdf</x:v>
      </x:c>
      <x:c r="S52" s="44" t="str">
        <x:v>CDLN 2012:6</x:v>
      </x:c>
      <x:c r="T52" s="6" t="str">
        <x:v>verified_live_and_rights_checked</x:v>
      </x:c>
      <x:c r="U52" s="18" t="str">
        <x:v>Современная научная работа защищена авторским правом.</x:v>
      </x:c>
      <x:c r="V52" s="18" t="str">
        <x:v>Современный текст/редакция охраняются согласно указанной лицензии или условиям репозитория.</x:v>
      </x:c>
      <x:c r="W52" s="18" t="str">
        <x:v>CC BY 4.0 for article text; Louvre object images may have separate rights</x:v>
      </x:c>
      <x:c r="X52" s="18" t="str">
        <x:v>CC BY 4.0 for article text; Louvre object images may have separate rights</x:v>
      </x:c>
      <x:c r="Y52" s="18" t="str">
        <x:v>CC BY 4.0 for article text; Louvre object images may have separate rights</x:v>
      </x:c>
      <x:c r="Z52" s="18" t="str">
        <x:v>Текст статьи и официальный файл; права на включённые изображения древних объектов и данные третьих лиц могут отличаться.</x:v>
      </x:c>
      <x:c r="AA52" s="18" t="str">
        <x:v>LINK_OK; FREE_READ; FREE_DOWNLOAD; LOCAL_RESEARCH_COPY; MIRROR_WITH_ATTRIBUTION; OCR_OK; FULLTEXT_INDEX_OK; EMBEDDINGS_OK</x:v>
      </x:c>
      <x:c r="AB52" s="18" t="str">
        <x:v>Не самостоятельная чистая основа для нового перевода древнего корпуса; использовать как научный комментарий, транслитерационную сверку или описание метода.</x:v>
      </x:c>
      <x:c r="AC52" s="48" t="str">
        <x:v>https://cdli.earth/articles/cdln/2012-6</x:v>
      </x:c>
      <x:c r="AD52" s="18" t="str">
        <x:v>2026-09-03</x:v>
      </x:c>
      <x:c r="AE52" s="18" t="str">
        <x:v>Medium</x:v>
      </x:c>
      <x:c r="AF52" s="24" t="str">
        <x:v>Physically reunites or re-identifies tablet fragments; improves witness-level catalogue integrity.</x:v>
      </x:c>
    </x:row>
    <x:row r="53" ht="108" customHeight="1">
      <x:c r="A53" s="23" t="str">
        <x:v>A07-R052</x:v>
      </x:c>
      <x:c r="B53" s="16" t="str">
        <x:v>A07</x:v>
      </x:c>
      <x:c r="C53" s="16" t="str">
        <x:v>same_corpus_or_tradition</x:v>
      </x:c>
      <x:c r="D53" s="6" t="str">
        <x:v>A New Edition of the Proto-Elamite Text MDP 17, 112</x:v>
      </x:c>
      <x:c r="E53" s="6" t="str"/>
      <x:c r="F53" s="6" t="str">
        <x:v>Rebecca Hawkins</x:v>
      </x:c>
      <x:c r="G53" s="6" t="str">
        <x:v>2015</x:v>
      </x:c>
      <x:c r="H53" s="6" t="str">
        <x:v>translation_or_edition</x:v>
      </x:c>
      <x:c r="I53" s="6" t="str">
        <x:v>Научная публикация / современный исследовательский слой</x:v>
      </x:c>
      <x:c r="J53" s="6" t="str">
        <x:v>English</x:v>
      </x:c>
      <x:c r="K53" s="6" t="str"/>
      <x:c r="L53" s="6" t="str"/>
      <x:c r="M53" s="6" t="str">
        <x:v>Cuneiform Digital Library Journal</x:v>
      </x:c>
      <x:c r="N53" s="6" t="str">
        <x:v>free_full_read; free_download</x:v>
      </x:c>
      <x:c r="O53" s="6" t="str">
        <x:v>complete_work_or_corpus</x:v>
      </x:c>
      <x:c r="P53" s="6" t="str">
        <x:v>HTML; PDF</x:v>
      </x:c>
      <x:c r="Q53" s="44" t="str">
        <x:v>https://cdli.earth/articles/cdlj/2015-1</x:v>
      </x:c>
      <x:c r="R53" s="44" t="str">
        <x:v>https://cdli.earth/articles/cdlj/2015-1.pdf</x:v>
      </x:c>
      <x:c r="S53" s="44" t="str">
        <x:v>CDLJ 2015:1</x:v>
      </x:c>
      <x:c r="T53" s="6" t="str">
        <x:v>verified_live_and_rights_checked</x:v>
      </x:c>
      <x:c r="U53" s="18" t="str">
        <x:v>Современная научная работа защищена авторским правом.</x:v>
      </x:c>
      <x:c r="V53" s="18" t="str">
        <x:v>Современный текст/редакция охраняются согласно указанной лицензии или условиям репозитория.</x:v>
      </x:c>
      <x:c r="W53" s="18" t="str">
        <x:v>CC BY 4.0 for article text; object images/line art may have separate rights</x:v>
      </x:c>
      <x:c r="X53" s="18" t="str">
        <x:v>CC BY 4.0 for article text; object images/line art may have separate rights</x:v>
      </x:c>
      <x:c r="Y53" s="18" t="str">
        <x:v>CC BY 4.0 for article text; object images/line art may have separate rights</x:v>
      </x:c>
      <x:c r="Z53" s="18" t="str">
        <x:v>Текст статьи и официальный файл; права на включённые изображения древних объектов и данные третьих лиц могут отличаться.</x:v>
      </x:c>
      <x:c r="AA53" s="18" t="str">
        <x:v>LINK_OK; FREE_READ; FREE_DOWNLOAD; LOCAL_RESEARCH_COPY; MIRROR_WITH_ATTRIBUTION; OCR_OK; FULLTEXT_INDEX_OK; EMBEDDINGS_OK</x:v>
      </x:c>
      <x:c r="AB53" s="18" t="str">
        <x:v>Не самостоятельная чистая основа для нового перевода древнего корпуса; использовать как научный комментарий, транслитерационную сверку или описание метода.</x:v>
      </x:c>
      <x:c r="AC53" s="48" t="str">
        <x:v>https://cdli.earth/articles/cdlj/2015-1</x:v>
      </x:c>
      <x:c r="AD53" s="18" t="str">
        <x:v>2026-09-03</x:v>
      </x:c>
      <x:c r="AE53" s="18" t="str">
        <x:v>Medium</x:v>
      </x:c>
      <x:c r="AF53" s="24" t="str">
        <x:v>A concrete modern re-edition of one MDP 17 witness; shows why old printed readings and current digital editions must be separated.</x:v>
      </x:c>
    </x:row>
    <x:row r="54" ht="108" customHeight="1">
      <x:c r="A54" s="23" t="str">
        <x:v>A07-R053</x:v>
      </x:c>
      <x:c r="B54" s="16" t="str">
        <x:v>A07</x:v>
      </x:c>
      <x:c r="C54" s="16" t="str">
        <x:v>antecedent</x:v>
      </x:c>
      <x:c r="D54" s="6" t="str">
        <x:v>The Origin of Writing in the Near East</x:v>
      </x:c>
      <x:c r="E54" s="6" t="str"/>
      <x:c r="F54" s="6" t="str">
        <x:v>Peter Damerow</x:v>
      </x:c>
      <x:c r="G54" s="6" t="str">
        <x:v>2006</x:v>
      </x:c>
      <x:c r="H54" s="6" t="str">
        <x:v>translation_or_edition</x:v>
      </x:c>
      <x:c r="I54" s="6" t="str">
        <x:v>Научная публикация / современный исследовательский слой</x:v>
      </x:c>
      <x:c r="J54" s="6" t="str">
        <x:v>English</x:v>
      </x:c>
      <x:c r="K54" s="6" t="str"/>
      <x:c r="L54" s="6" t="str"/>
      <x:c r="M54" s="6" t="str">
        <x:v>Cuneiform Digital Library Notes</x:v>
      </x:c>
      <x:c r="N54" s="6" t="str">
        <x:v>free_full_read; free_download</x:v>
      </x:c>
      <x:c r="O54" s="6" t="str">
        <x:v>complete_work_or_corpus</x:v>
      </x:c>
      <x:c r="P54" s="6" t="str">
        <x:v>HTML; PDF</x:v>
      </x:c>
      <x:c r="Q54" s="44" t="str">
        <x:v>https://cdli.earth/articles/cdln/2006-2</x:v>
      </x:c>
      <x:c r="R54" s="44" t="str">
        <x:v>https://cdli.earth/articles/cdln/2006-2.pdf</x:v>
      </x:c>
      <x:c r="S54" s="44" t="str">
        <x:v>CDLN 2006:2</x:v>
      </x:c>
      <x:c r="T54" s="6" t="str">
        <x:v>verified_live_and_rights_checked</x:v>
      </x:c>
      <x:c r="U54" s="18" t="str">
        <x:v>Современная научная работа защищена авторским правом.</x:v>
      </x:c>
      <x:c r="V54" s="18" t="str">
        <x:v>Современный текст/редакция охраняются согласно указанной лицензии или условиям репозитория.</x:v>
      </x:c>
      <x:c r="W54" s="18" t="str">
        <x:v>CC BY 4.0 for article text; third-party figures may have separate rights</x:v>
      </x:c>
      <x:c r="X54" s="18" t="str">
        <x:v>CC BY 4.0 for article text; third-party figures may have separate rights</x:v>
      </x:c>
      <x:c r="Y54" s="18" t="str">
        <x:v>CC BY 4.0 for article text; third-party figures may have separate rights</x:v>
      </x:c>
      <x:c r="Z54" s="18" t="str">
        <x:v>Текст статьи и официальный файл; права на включённые изображения древних объектов и данные третьих лиц могут отличаться.</x:v>
      </x:c>
      <x:c r="AA54" s="18" t="str">
        <x:v>LINK_OK; FREE_READ; FREE_DOWNLOAD; LOCAL_RESEARCH_COPY; MIRROR_WITH_ATTRIBUTION; OCR_OK; FULLTEXT_INDEX_OK; EMBEDDINGS_OK</x:v>
      </x:c>
      <x:c r="AB54" s="18" t="str">
        <x:v>Не самостоятельная чистая основа для нового перевода древнего корпуса; использовать как научный комментарий, транслитерационную сверку или описание метода.</x:v>
      </x:c>
      <x:c r="AC54" s="48" t="str">
        <x:v>https://cdli.earth/articles/cdln/2006-2</x:v>
      </x:c>
      <x:c r="AD54" s="18" t="str">
        <x:v>2026-09-03</x:v>
      </x:c>
      <x:c r="AE54" s="18" t="str">
        <x:v>Medium</x:v>
      </x:c>
      <x:c r="AF54" s="24" t="str">
        <x:v>Methodological bridge from tokens/sealings and Uruk accounting to proto-Elamite writing.</x:v>
      </x:c>
    </x:row>
    <x:row r="55" ht="108" customHeight="1">
      <x:c r="A55" s="23" t="str">
        <x:v>A07-R054</x:v>
      </x:c>
      <x:c r="B55" s="16" t="str">
        <x:v>A07</x:v>
      </x:c>
      <x:c r="C55" s="16" t="str">
        <x:v>antecedent</x:v>
      </x:c>
      <x:c r="D55" s="6" t="str">
        <x:v>Numbers and Quantities in the Earliest Uruk Proto-Cuneiform Texts</x:v>
      </x:c>
      <x:c r="E55" s="6" t="str"/>
      <x:c r="F55" s="6" t="str">
        <x:v>CDLI Bulletin authors</x:v>
      </x:c>
      <x:c r="G55" s="6" t="str">
        <x:v>2024</x:v>
      </x:c>
      <x:c r="H55" s="6" t="str">
        <x:v>translation_or_edition</x:v>
      </x:c>
      <x:c r="I55" s="6" t="str">
        <x:v>Научная публикация / современный исследовательский слой</x:v>
      </x:c>
      <x:c r="J55" s="6" t="str">
        <x:v>English</x:v>
      </x:c>
      <x:c r="K55" s="6" t="str"/>
      <x:c r="L55" s="6" t="str"/>
      <x:c r="M55" s="6" t="str">
        <x:v>Cuneiform Digital Library Bulletin</x:v>
      </x:c>
      <x:c r="N55" s="6" t="str">
        <x:v>free_full_read; free_download</x:v>
      </x:c>
      <x:c r="O55" s="6" t="str">
        <x:v>complete_work_or_corpus</x:v>
      </x:c>
      <x:c r="P55" s="6" t="str">
        <x:v>HTML; PDF</x:v>
      </x:c>
      <x:c r="Q55" s="44" t="str">
        <x:v>https://cdli.earth/articles/cdlb/2024-3</x:v>
      </x:c>
      <x:c r="R55" s="44" t="str">
        <x:v>https://cdli.earth/articles/cdlb/2024-3.pdf</x:v>
      </x:c>
      <x:c r="S55" s="44" t="str">
        <x:v>CDLB 2024:3</x:v>
      </x:c>
      <x:c r="T55" s="6" t="str">
        <x:v>verified_live_and_rights_checked</x:v>
      </x:c>
      <x:c r="U55" s="18" t="str">
        <x:v>Современная научная работа защищена авторским правом.</x:v>
      </x:c>
      <x:c r="V55" s="18" t="str">
        <x:v>Современный текст/редакция охраняются согласно указанной лицензии или условиям репозитория.</x:v>
      </x:c>
      <x:c r="W55" s="18" t="str">
        <x:v>CC BY 4.0 for article text; third-party images/data may differ</x:v>
      </x:c>
      <x:c r="X55" s="18" t="str">
        <x:v>CC BY 4.0 for article text; third-party images/data may differ</x:v>
      </x:c>
      <x:c r="Y55" s="18" t="str">
        <x:v>CC BY 4.0 for article text; third-party images/data may differ</x:v>
      </x:c>
      <x:c r="Z55" s="18" t="str">
        <x:v>Текст статьи и официальный файл; права на включённые изображения древних объектов и данные третьих лиц могут отличаться.</x:v>
      </x:c>
      <x:c r="AA55" s="18" t="str">
        <x:v>LINK_OK; FREE_READ; FREE_DOWNLOAD; LOCAL_RESEARCH_COPY; MIRROR_WITH_ATTRIBUTION; OCR_OK; FULLTEXT_INDEX_OK; EMBEDDINGS_OK</x:v>
      </x:c>
      <x:c r="AB55" s="18" t="str">
        <x:v>Не самостоятельная чистая основа для нового перевода древнего корпуса; использовать как научный комментарий, транслитерационную сверку или описание метода.</x:v>
      </x:c>
      <x:c r="AC55" s="48" t="str">
        <x:v>https://cdli.earth/articles/cdlb/2024-3</x:v>
      </x:c>
      <x:c r="AD55" s="18" t="str">
        <x:v>2026-09-03</x:v>
      </x:c>
      <x:c r="AE55" s="18" t="str">
        <x:v>Medium</x:v>
      </x:c>
      <x:c r="AF55" s="24" t="str">
        <x:v>Directly relevant antecedent because proto-Elamite metrology and numerical conventions adapt the late Uruk administrative package.</x:v>
      </x:c>
    </x:row>
    <x:row r="56" ht="108" customHeight="1">
      <x:c r="A56" s="23" t="str">
        <x:v>A07-R055</x:v>
      </x:c>
      <x:c r="B56" s="16" t="str">
        <x:v>A07</x:v>
      </x:c>
      <x:c r="C56" s="16" t="str">
        <x:v>supporting</x:v>
      </x:c>
      <x:c r="D56" s="6" t="str">
        <x:v>Complexity of the Proto-Elamite Administration System</x:v>
      </x:c>
      <x:c r="E56" s="6" t="str"/>
      <x:c r="F56" s="6" t="str">
        <x:v>CDLI Journal authors</x:v>
      </x:c>
      <x:c r="G56" s="6" t="str">
        <x:v>2025</x:v>
      </x:c>
      <x:c r="H56" s="6" t="str">
        <x:v>translation_or_edition</x:v>
      </x:c>
      <x:c r="I56" s="6" t="str">
        <x:v>Научная публикация / современный исследовательский слой</x:v>
      </x:c>
      <x:c r="J56" s="6" t="str">
        <x:v>English</x:v>
      </x:c>
      <x:c r="K56" s="6" t="str"/>
      <x:c r="L56" s="6" t="str"/>
      <x:c r="M56" s="6" t="str">
        <x:v>Cuneiform Digital Library Journal</x:v>
      </x:c>
      <x:c r="N56" s="6" t="str">
        <x:v>free_full_read; free_download</x:v>
      </x:c>
      <x:c r="O56" s="6" t="str">
        <x:v>complete_work_or_corpus</x:v>
      </x:c>
      <x:c r="P56" s="6" t="str">
        <x:v>HTML; PDF</x:v>
      </x:c>
      <x:c r="Q56" s="44" t="str">
        <x:v>https://cdli.earth/articles/cdlj/2025-2</x:v>
      </x:c>
      <x:c r="R56" s="44" t="str">
        <x:v>https://cdli.earth/articles/cdlj/2025-2.pdf</x:v>
      </x:c>
      <x:c r="S56" s="44" t="str">
        <x:v>CDLJ 2025:2</x:v>
      </x:c>
      <x:c r="T56" s="6" t="str">
        <x:v>verified_live_and_rights_checked</x:v>
      </x:c>
      <x:c r="U56" s="18" t="str">
        <x:v>Современная научная работа защищена авторским правом.</x:v>
      </x:c>
      <x:c r="V56" s="18" t="str">
        <x:v>Современный текст/редакция охраняются согласно указанной лицензии или условиям репозитория.</x:v>
      </x:c>
      <x:c r="W56" s="18" t="str">
        <x:v>CC BY 4.0 for article text; third-party content may differ</x:v>
      </x:c>
      <x:c r="X56" s="18" t="str">
        <x:v>CC BY 4.0 for article text; third-party content may differ</x:v>
      </x:c>
      <x:c r="Y56" s="18" t="str">
        <x:v>CC BY 4.0 for article text; third-party content may differ</x:v>
      </x:c>
      <x:c r="Z56" s="18" t="str">
        <x:v>Текст статьи и официальный файл; права на включённые изображения древних объектов и данные третьих лиц могут отличаться.</x:v>
      </x:c>
      <x:c r="AA56" s="18" t="str">
        <x:v>LINK_OK; FREE_READ; FREE_DOWNLOAD; LOCAL_RESEARCH_COPY; MIRROR_WITH_ATTRIBUTION; OCR_OK; FULLTEXT_INDEX_OK; EMBEDDINGS_OK</x:v>
      </x:c>
      <x:c r="AB56" s="18" t="str">
        <x:v>Не самостоятельная чистая основа для нового перевода древнего корпуса; использовать как научный комментарий, транслитерационную сверку или описание метода.</x:v>
      </x:c>
      <x:c r="AC56" s="48" t="str">
        <x:v>https://cdli.earth/articles/cdlj/2025-2</x:v>
      </x:c>
      <x:c r="AD56" s="18" t="str">
        <x:v>2026-09-03</x:v>
      </x:c>
      <x:c r="AE56" s="18" t="str">
        <x:v>Medium</x:v>
      </x:c>
      <x:c r="AF56" s="24" t="str">
        <x:v>Recent quantitative/structural study of the administrative system; useful for corpus modelling.</x:v>
      </x:c>
    </x:row>
    <x:row r="57" ht="108" customHeight="1">
      <x:c r="A57" s="23" t="str">
        <x:v>A07-R056</x:v>
      </x:c>
      <x:c r="B57" s="16" t="str">
        <x:v>A07</x:v>
      </x:c>
      <x:c r="C57" s="16" t="str">
        <x:v>infrastructure</x:v>
      </x:c>
      <x:c r="D57" s="6" t="str">
        <x:v>Linear Elamite and the Proto-Iranian writing systems: current digital corpus context</x:v>
      </x:c>
      <x:c r="E57" s="6" t="str"/>
      <x:c r="F57" s="6" t="str">
        <x:v>CDLI/GEAS/Hatamti project documentation</x:v>
      </x:c>
      <x:c r="G57" s="6" t="str">
        <x:v>2025</x:v>
      </x:c>
      <x:c r="H57" s="6" t="str">
        <x:v>translation_or_edition</x:v>
      </x:c>
      <x:c r="I57" s="6" t="str">
        <x:v>Научная публикация / современный исследовательский слой</x:v>
      </x:c>
      <x:c r="J57" s="6" t="str">
        <x:v>English</x:v>
      </x:c>
      <x:c r="K57" s="6" t="str"/>
      <x:c r="L57" s="6" t="str"/>
      <x:c r="M57" s="6" t="str">
        <x:v>Project documentation</x:v>
      </x:c>
      <x:c r="N57" s="6" t="str">
        <x:v>free_full_read; free_download</x:v>
      </x:c>
      <x:c r="O57" s="6" t="str">
        <x:v>commentary_or_reference_only</x:v>
      </x:c>
      <x:c r="P57" s="6" t="str">
        <x:v>HTML; PDF</x:v>
      </x:c>
      <x:c r="Q57" s="44" t="str">
        <x:v>https://center-for-decipherment.ch/tool-introduction/</x:v>
      </x:c>
      <x:c r="R57" s="44" t="str"/>
      <x:c r="S57" s="44" t="str">
        <x:v>GEAS tool introduction</x:v>
      </x:c>
      <x:c r="T57" s="6" t="str">
        <x:v>verified_live_and_rights_checked</x:v>
      </x:c>
      <x:c r="U57" s="18" t="str">
        <x:v>Современная научная работа защищена авторским правом.</x:v>
      </x:c>
      <x:c r="V57" s="18" t="str">
        <x:v>Современный текст/редакция охраняются согласно указанной лицензии или условиям репозитория.</x:v>
      </x:c>
      <x:c r="W57" s="18" t="str">
        <x:v>Web documentation in copyright; font under SIL OFL only; corpus/image rights mixed</x:v>
      </x:c>
      <x:c r="X57" s="18" t="str">
        <x:v>Web documentation in copyright; font under SIL OFL only; corpus/image rights mixed</x:v>
      </x:c>
      <x:c r="Y57" s="18" t="str">
        <x:v>Web documentation in copyright; font under SIL OFL only; corpus/image rights mixed</x:v>
      </x:c>
      <x:c r="Z57" s="18" t="str">
        <x:v>Текст статьи и официальный файл; права на включённые изображения древних объектов и данные третьих лиц могут отличаться.</x:v>
      </x:c>
      <x:c r="AA57" s="18" t="str">
        <x:v>LINK_OK; FREE_READ; LINK_ONLY; RIGHTS_REVIEW_REQUIRED</x:v>
      </x:c>
      <x:c r="AB57" s="18" t="str">
        <x:v>Не самостоятельная чистая основа для нового перевода древнего корпуса; использовать как научный комментарий, транслитерационную сверку или описание метода.</x:v>
      </x:c>
      <x:c r="AC57" s="48" t="str">
        <x:v>https://center-for-decipherment.ch/tool-introduction/</x:v>
      </x:c>
      <x:c r="AD57" s="18" t="str">
        <x:v>2026-09-03</x:v>
      </x:c>
      <x:c r="AE57" s="18" t="str">
        <x:v>Medium</x:v>
      </x:c>
      <x:c r="AF57" s="24" t="str">
        <x:v>Included as documentation of how the current digital corpus is structured and filtered; not an open corpus license.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58" ht="108" customHeight="1">
      <x:c r="A58" s="23" t="str">
        <x:v>A07-R057</x:v>
      </x:c>
      <x:c r="B58" s="16" t="str">
        <x:v>A07</x:v>
      </x:c>
      <x:c r="C58" s="16" t="str">
        <x:v>supporting</x:v>
      </x:c>
      <x:c r="D58" s="6" t="str">
        <x:v>The State of Decipherment of Proto-Elamite</x:v>
      </x:c>
      <x:c r="E58" s="6" t="str"/>
      <x:c r="F58" s="6" t="str">
        <x:v>Robert K. Englund</x:v>
      </x:c>
      <x:c r="G58" s="6" t="str">
        <x:v>2004</x:v>
      </x:c>
      <x:c r="H58" s="6" t="str">
        <x:v>translation_or_edition</x:v>
      </x:c>
      <x:c r="I58" s="6" t="str">
        <x:v>Научная публикация / современный исследовательский слой</x:v>
      </x:c>
      <x:c r="J58" s="6" t="str">
        <x:v>English</x:v>
      </x:c>
      <x:c r="K58" s="6" t="str"/>
      <x:c r="L58" s="6" t="str"/>
      <x:c r="M58" s="6" t="str">
        <x:v>Max Planck Institute for the History of Science</x:v>
      </x:c>
      <x:c r="N58" s="6" t="str">
        <x:v>free_full_read; free_download</x:v>
      </x:c>
      <x:c r="O58" s="6" t="str">
        <x:v>complete_work_or_corpus</x:v>
      </x:c>
      <x:c r="P58" s="6" t="str">
        <x:v>HTML; PDF</x:v>
      </x:c>
      <x:c r="Q58" s="44" t="str">
        <x:v>https://www.mpiwg-berlin.mpg.de/Preprints/P183.PDF</x:v>
      </x:c>
      <x:c r="R58" s="44" t="str">
        <x:v>https://www.mpiwg-berlin.mpg.de/Preprints/P183.PDF</x:v>
      </x:c>
      <x:c r="S58" s="44" t="str">
        <x:v>MPIWG Preprint P183</x:v>
      </x:c>
      <x:c r="T58" s="6" t="str">
        <x:v>verified_live_and_rights_checked</x:v>
      </x:c>
      <x:c r="U58" s="18" t="str">
        <x:v>Современная научная работа защищена авторским правом.</x:v>
      </x:c>
      <x:c r="V58" s="18" t="str">
        <x:v>Современный текст/редакция охраняются согласно указанной лицензии или условиям репозитория.</x:v>
      </x:c>
      <x:c r="W58" s="18" t="str">
        <x:v>Free official preprint; no explicit open reuse license located in the research pass</x:v>
      </x:c>
      <x:c r="X58" s="18" t="str">
        <x:v>Free official preprint; no explicit open reuse license located in the research pass</x:v>
      </x:c>
      <x:c r="Y58" s="18" t="str">
        <x:v>Free official preprint; no explicit open reuse license located in the research pass</x:v>
      </x:c>
      <x:c r="Z58" s="18" t="str">
        <x:v>Текст статьи и официальный файл; права на включённые изображения древних объектов и данные третьих лиц могут отличаться.</x:v>
      </x:c>
      <x:c r="AA58" s="18" t="str">
        <x:v>LINK_OK; FREE_READ; FREE_DOWNLOAD; LOCAL_RESEARCH_COPY; LINK_ONLY; RIGHTS_REVIEW_REQUIRED</x:v>
      </x:c>
      <x:c r="AB58" s="18" t="str">
        <x:v>Не самостоятельная чистая основа для нового перевода древнего корпуса; использовать как научный комментарий, транслитерационную сверку или описание метода.</x:v>
      </x:c>
      <x:c r="AC58" s="48" t="str">
        <x:v>https://www.mpiwg-berlin.mpg.de/Preprints/P183.PDF</x:v>
      </x:c>
      <x:c r="AD58" s="18" t="str">
        <x:v>2026-09-03</x:v>
      </x:c>
      <x:c r="AE58" s="18" t="str">
        <x:v>Medium</x:v>
      </x:c>
      <x:c r="AF58" s="24" t="str">
        <x:v>Foundational state-of-decipherment review; free official PDF, but mirror/derivative rights remain unproven.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59" ht="108" customHeight="1">
      <x:c r="A59" s="23" t="str">
        <x:v>A07-R058</x:v>
      </x:c>
      <x:c r="B59" s="16" t="str">
        <x:v>A07</x:v>
      </x:c>
      <x:c r="C59" s="16" t="str">
        <x:v>supporting</x:v>
      </x:c>
      <x:c r="D59" s="6" t="str">
        <x:v>Proto-Elamite and Linear Elamite, a Misunderstood Relationship?</x:v>
      </x:c>
      <x:c r="E59" s="6" t="str"/>
      <x:c r="F59" s="6" t="str">
        <x:v>Jacob L. Dahl</x:v>
      </x:c>
      <x:c r="G59" s="6" t="str">
        <x:v>2023</x:v>
      </x:c>
      <x:c r="H59" s="6" t="str">
        <x:v>translation_or_edition</x:v>
      </x:c>
      <x:c r="I59" s="6" t="str">
        <x:v>Научная публикация / современный исследовательский слой</x:v>
      </x:c>
      <x:c r="J59" s="6" t="str">
        <x:v>English</x:v>
      </x:c>
      <x:c r="K59" s="6" t="str"/>
      <x:c r="L59" s="6" t="str"/>
      <x:c r="M59" s="6" t="str">
        <x:v>Oxford University Research Archive (ORA)</x:v>
      </x:c>
      <x:c r="N59" s="6" t="str">
        <x:v>free_full_read; free_download</x:v>
      </x:c>
      <x:c r="O59" s="6" t="str">
        <x:v>complete_work_or_corpus</x:v>
      </x:c>
      <x:c r="P59" s="6" t="str">
        <x:v>HTML; PDF</x:v>
      </x:c>
      <x:c r="Q59" s="44" t="str">
        <x:v>https://ora.ox.ac.uk/objects/uuid:51adb1c2-61de-438c-9b29-125addf3d2a1</x:v>
      </x:c>
      <x:c r="R59" s="44" t="str">
        <x:v>https://ora.ox.ac.uk/objects/uuid%3A51adb1c2-61de-438c-9b29-125addf3d2a1/files/r6w924c626</x:v>
      </x:c>
      <x:c r="S59" s="44" t="str">
        <x:v>ORA uuid:51adb1c2-61de-438c-9b29-125addf3d2a1</x:v>
      </x:c>
      <x:c r="T59" s="6" t="str">
        <x:v>verified_live_and_rights_checked</x:v>
      </x:c>
      <x:c r="U59" s="18" t="str">
        <x:v>Современная научная работа защищена авторским правом.</x:v>
      </x:c>
      <x:c r="V59" s="18" t="str">
        <x:v>Современный текст/редакция охраняются согласно указанной лицензии или условиям репозитория.</x:v>
      </x:c>
      <x:c r="W59" s="18" t="str">
        <x:v>Free repository manuscript; no explicit open license confirmed on the retrieved record</x:v>
      </x:c>
      <x:c r="X59" s="18" t="str">
        <x:v>Free repository manuscript; no explicit open license confirmed on the retrieved record</x:v>
      </x:c>
      <x:c r="Y59" s="18" t="str">
        <x:v>Free repository manuscript; no explicit open license confirmed on the retrieved record</x:v>
      </x:c>
      <x:c r="Z59" s="18" t="str">
        <x:v>Текст статьи и официальный файл; права на включённые изображения древних объектов и данные третьих лиц могут отличаться.</x:v>
      </x:c>
      <x:c r="AA59" s="18" t="str">
        <x:v>LINK_OK; FREE_READ; FREE_DOWNLOAD; LOCAL_RESEARCH_COPY; LINK_ONLY; RIGHTS_REVIEW_REQUIRED</x:v>
      </x:c>
      <x:c r="AB59" s="18" t="str">
        <x:v>Не самостоятельная чистая основа для нового перевода древнего корпуса; использовать как научный комментарий, транслитерационную сверку или описание метода.</x:v>
      </x:c>
      <x:c r="AC59" s="48" t="str">
        <x:v>https://ora.ox.ac.uk/objects/uuid:51adb1c2-61de-438c-9b29-125addf3d2a1</x:v>
      </x:c>
      <x:c r="AD59" s="18" t="str">
        <x:v>2026-09-03</x:v>
      </x:c>
      <x:c r="AE59" s="18" t="str">
        <x:v>Medium</x:v>
      </x:c>
      <x:c r="AF59" s="24" t="str">
        <x:v>Directly addresses the central frontier problem: whether the two scripts/traditions are historically related.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60" ht="108" customHeight="1">
      <x:c r="A60" s="23" t="str">
        <x:v>A07-R059</x:v>
      </x:c>
      <x:c r="B60" s="16" t="str">
        <x:v>A07</x:v>
      </x:c>
      <x:c r="C60" s="16" t="str">
        <x:v>core</x:v>
      </x:c>
      <x:c r="D60" s="6" t="str">
        <x:v>The Decipherment of Linear Elamite Writing</x:v>
      </x:c>
      <x:c r="E60" s="6" t="str"/>
      <x:c r="F60" s="6" t="str">
        <x:v>François Desset et al.</x:v>
      </x:c>
      <x:c r="G60" s="6" t="str">
        <x:v>2022</x:v>
      </x:c>
      <x:c r="H60" s="6" t="str">
        <x:v>translation_or_edition</x:v>
      </x:c>
      <x:c r="I60" s="6" t="str">
        <x:v>Научная публикация / современный исследовательский слой</x:v>
      </x:c>
      <x:c r="J60" s="6" t="str">
        <x:v>English</x:v>
      </x:c>
      <x:c r="K60" s="6" t="str"/>
      <x:c r="L60" s="6" t="str"/>
      <x:c r="M60" s="6" t="str">
        <x:v>ORBi, Université de Liège</x:v>
      </x:c>
      <x:c r="N60" s="6" t="str">
        <x:v>free_full_read; free_download</x:v>
      </x:c>
      <x:c r="O60" s="6" t="str">
        <x:v>complete_work_or_corpus</x:v>
      </x:c>
      <x:c r="P60" s="6" t="str">
        <x:v>HTML; PDF</x:v>
      </x:c>
      <x:c r="Q60" s="44" t="str">
        <x:v>https://orbi.uliege.be/handle/2268/334018</x:v>
      </x:c>
      <x:c r="R60" s="44" t="str">
        <x:v>https://orbi.uliege.be/bitstream/2268/334018/1/The%20decipherment%20of%20Linear%20Elamite.pdf</x:v>
      </x:c>
      <x:c r="S60" s="44" t="str">
        <x:v>10.1515/za-2022-0003</x:v>
      </x:c>
      <x:c r="T60" s="6" t="str">
        <x:v>verified_live_and_rights_checked</x:v>
      </x:c>
      <x:c r="U60" s="18" t="str">
        <x:v>Современная научная работа защищена авторским правом.</x:v>
      </x:c>
      <x:c r="V60" s="18" t="str">
        <x:v>Современный текст/редакция охраняются согласно указанной лицензии или условиям репозитория.</x:v>
      </x:c>
      <x:c r="W60" s="18" t="str">
        <x:v>ORBi user license permits noncommercial reading, downloading, copying, distribution and indexing of the deposited file; modification/summarization requires permission</x:v>
      </x:c>
      <x:c r="X60" s="18" t="str">
        <x:v>ORBi user license permits noncommercial reading, downloading, copying, distribution and indexing of the deposited file; modification/summarization requires permission</x:v>
      </x:c>
      <x:c r="Y60" s="18" t="str">
        <x:v>ORBi user license permits noncommercial reading, downloading, copying, distribution and indexing of the deposited file; modification/summarization requires permission</x:v>
      </x:c>
      <x:c r="Z60" s="18" t="str">
        <x:v>Текст статьи и официальный файл; права на включённые изображения древних объектов и данные третьих лиц могут отличаться.</x:v>
      </x:c>
      <x:c r="AA60" s="18" t="str">
        <x:v>LINK_OK; FREE_READ; FREE_DOWNLOAD; LOCAL_RESEARCH_COPY; MIRROR_NONCOMMERCIAL; UNCHANGED_ONLY; FULLTEXT_INDEX_OK; RIGHTS_REVIEW_REQUIRED</x:v>
      </x:c>
      <x:c r="AB60" s="18" t="str">
        <x:v>Не самостоятельная чистая основа для нового перевода древнего корпуса; использовать как научный комментарий, транслитерационную сверку или описание метода.</x:v>
      </x:c>
      <x:c r="AC60" s="48" t="str">
        <x:v>https://orbi.uliege.be/page/user-license</x:v>
      </x:c>
      <x:c r="AD60" s="18" t="str">
        <x:v>2026-09-03</x:v>
      </x:c>
      <x:c r="AE60" s="18" t="str">
        <x:v>Medium</x:v>
      </x:c>
      <x:c r="AF60" s="24" t="str">
        <x:v>Key modern decipherment argument. The positive reuse tags apply only to the deposited manuscript file; third-party object images and publisher layout may differ.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61" ht="108" customHeight="1">
      <x:c r="A61" s="23" t="str">
        <x:v>A07-R060</x:v>
      </x:c>
      <x:c r="B61" s="16" t="str">
        <x:v>A07</x:v>
      </x:c>
      <x:c r="C61" s="16" t="str">
        <x:v>core</x:v>
      </x:c>
      <x:c r="D61" s="6" t="str">
        <x:v>The Decipherment of Linear Elamite Writing — publisher version</x:v>
      </x:c>
      <x:c r="E61" s="6" t="str"/>
      <x:c r="F61" s="6" t="str">
        <x:v>François Desset et al.</x:v>
      </x:c>
      <x:c r="G61" s="6" t="str">
        <x:v>2022</x:v>
      </x:c>
      <x:c r="H61" s="6" t="str">
        <x:v>translation_or_edition</x:v>
      </x:c>
      <x:c r="I61" s="6" t="str">
        <x:v>Современное защищённое научное издание</x:v>
      </x:c>
      <x:c r="J61" s="6" t="str">
        <x:v>English</x:v>
      </x:c>
      <x:c r="K61" s="6" t="str"/>
      <x:c r="L61" s="6" t="str"/>
      <x:c r="M61" s="6" t="str">
        <x:v>Zeitschrift für Assyriologie / De Gruyter</x:v>
      </x:c>
      <x:c r="N61" s="6" t="str">
        <x:v>institutional_access; preview_or_snippet; purchase</x:v>
      </x:c>
      <x:c r="O61" s="6" t="str">
        <x:v>complete_work_or_corpus</x:v>
      </x:c>
      <x:c r="P61" s="6" t="str">
        <x:v>HTML preview/metadata; PDF/eBook or print subject to access</x:v>
      </x:c>
      <x:c r="Q61" s="44" t="str">
        <x:v>https://www.degruyter.com/document/doi/10.1515/za-2022-0003/html</x:v>
      </x:c>
      <x:c r="R61" s="44" t="str"/>
      <x:c r="S61" s="44" t="str">
        <x:v>10.1515/za-2022-0003</x:v>
      </x:c>
      <x:c r="T61" s="6" t="str">
        <x:v>verified_live</x:v>
      </x:c>
      <x:c r="U61" s="18" t="str">
        <x:v>Современная работа in copyright.</x:v>
      </x:c>
      <x:c r="V61" s="18" t="str">
        <x:v>Защищённое издание; чтение по подписке, покупке или библиотечному доступу.</x:v>
      </x:c>
      <x:c r="W61" s="18" t="str">
        <x:v>Право повторного распространения не установлено.</x:v>
      </x:c>
      <x:c r="X61" s="18" t="str">
        <x:v>Publisher terms; institutional login or purchase.</x:v>
      </x:c>
      <x:c r="Y61" s="18" t="str">
        <x:v>In Copyright</x:v>
      </x:c>
      <x:c r="Z61" s="18" t="str">
        <x:v>Link/preview/borrow/purchase only unless a separate license is obtained.</x:v>
      </x:c>
      <x:c r="AA61" s="18" t="str">
        <x:v>LINK_OK; PREVIEW_ONLY; PURCHASE; LINK_ONLY; LIBRARY_BORROW</x:v>
      </x:c>
      <x:c r="AB61" s="18" t="str">
        <x:v>Защищённый современный научный текст не является чистой основой для свободного собственного перевода древнего корпуса.</x:v>
      </x:c>
      <x:c r="AC61" s="48" t="str">
        <x:v>https://www.degruyter.com/document/doi/10.1515/za-2022-0003/html</x:v>
      </x:c>
      <x:c r="AD61" s="18" t="str">
        <x:v>2026-09-03</x:v>
      </x:c>
      <x:c r="AE61" s="18" t="str">
        <x:v>High</x:v>
      </x:c>
      <x:c r="AF61" s="24" t="str">
        <x:v>Version-of-record access; use the lawful ORBi manuscript for free full reading, but do not treat publisher layout as open.</x:v>
      </x:c>
    </x:row>
    <x:row r="62" ht="108" customHeight="1">
      <x:c r="A62" s="23" t="str">
        <x:v>A07-R061</x:v>
      </x:c>
      <x:c r="B62" s="16" t="str">
        <x:v>A07</x:v>
      </x:c>
      <x:c r="C62" s="16" t="str">
        <x:v>supporting</x:v>
      </x:c>
      <x:c r="D62" s="6" t="str">
        <x:v>Proto-Elamite Writing in Iran</x:v>
      </x:c>
      <x:c r="E62" s="6" t="str"/>
      <x:c r="F62" s="6" t="str">
        <x:v>François Desset</x:v>
      </x:c>
      <x:c r="G62" s="6" t="str">
        <x:v>2016</x:v>
      </x:c>
      <x:c r="H62" s="6" t="str">
        <x:v>translation_or_edition</x:v>
      </x:c>
      <x:c r="I62" s="6" t="str">
        <x:v>Научная публикация / современный исследовательский слой</x:v>
      </x:c>
      <x:c r="J62" s="6" t="str">
        <x:v>English</x:v>
      </x:c>
      <x:c r="K62" s="6" t="str"/>
      <x:c r="L62" s="6" t="str"/>
      <x:c r="M62" s="6" t="str">
        <x:v>Persée</x:v>
      </x:c>
      <x:c r="N62" s="6" t="str">
        <x:v>free_full_read; free_download</x:v>
      </x:c>
      <x:c r="O62" s="6" t="str">
        <x:v>complete_work_or_corpus</x:v>
      </x:c>
      <x:c r="P62" s="6" t="str">
        <x:v>HTML; PDF</x:v>
      </x:c>
      <x:c r="Q62" s="44" t="str">
        <x:v>https://www.persee.fr/doc/arnil_1161-0492_2016_num_26_1_1104</x:v>
      </x:c>
      <x:c r="R62" s="44" t="str"/>
      <x:c r="S62" s="44" t="str">
        <x:v>Persée arnil_1161-0492_2016_num_26_1_1104</x:v>
      </x:c>
      <x:c r="T62" s="6" t="str">
        <x:v>verified_live_and_rights_checked</x:v>
      </x:c>
      <x:c r="U62" s="18" t="str">
        <x:v>Современная научная работа защищена авторским правом.</x:v>
      </x:c>
      <x:c r="V62" s="18" t="str">
        <x:v>Современный текст/редакция охраняются согласно указанной лицензии или условиям репозитория.</x:v>
      </x:c>
      <x:c r="W62" s="18" t="str">
        <x:v>Free HTML/PDF on Persée; no explicit open reuse license located for this article</x:v>
      </x:c>
      <x:c r="X62" s="18" t="str">
        <x:v>Free HTML/PDF on Persée; no explicit open reuse license located for this article</x:v>
      </x:c>
      <x:c r="Y62" s="18" t="str">
        <x:v>Free HTML/PDF on Persée; no explicit open reuse license located for this article</x:v>
      </x:c>
      <x:c r="Z62" s="18" t="str">
        <x:v>Текст статьи и официальный файл; права на включённые изображения древних объектов и данные третьих лиц могут отличаться.</x:v>
      </x:c>
      <x:c r="AA62" s="18" t="str">
        <x:v>LINK_OK; FREE_READ; FREE_DOWNLOAD; LOCAL_RESEARCH_COPY; LINK_ONLY; RIGHTS_REVIEW_REQUIRED</x:v>
      </x:c>
      <x:c r="AB62" s="18" t="str">
        <x:v>Не самостоятельная чистая основа для нового перевода древнего корпуса; использовать как научный комментарий, транслитерационную сверку или описание метода.</x:v>
      </x:c>
      <x:c r="AC62" s="48" t="str">
        <x:v>https://www.persee.fr/doc/arnil_1161-0492_2016_num_26_1_1104</x:v>
      </x:c>
      <x:c r="AD62" s="18" t="str">
        <x:v>2026-09-03</x:v>
      </x:c>
      <x:c r="AE62" s="18" t="str">
        <x:v>Medium</x:v>
      </x:c>
      <x:c r="AF62" s="24" t="str">
        <x:v>Overview of the geographical and archaeological spread of proto-Elamite writing.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63" ht="108" customHeight="1">
      <x:c r="A63" s="23" t="str">
        <x:v>A07-R062</x:v>
      </x:c>
      <x:c r="B63" s="16" t="str">
        <x:v>A07</x:v>
      </x:c>
      <x:c r="C63" s="16" t="str">
        <x:v>supporting</x:v>
      </x:c>
      <x:c r="D63" s="6" t="str">
        <x:v>Considerations on the History of Writing on the Iranian Plateau</x:v>
      </x:c>
      <x:c r="E63" s="6" t="str"/>
      <x:c r="F63" s="6" t="str">
        <x:v>François Desset</x:v>
      </x:c>
      <x:c r="G63" s="6" t="str">
        <x:v>2022</x:v>
      </x:c>
      <x:c r="H63" s="6" t="str">
        <x:v>translation_or_edition</x:v>
      </x:c>
      <x:c r="I63" s="6" t="str">
        <x:v>Научная публикация / современный исследовательский слой</x:v>
      </x:c>
      <x:c r="J63" s="6" t="str">
        <x:v>English</x:v>
      </x:c>
      <x:c r="K63" s="6" t="str"/>
      <x:c r="L63" s="6" t="str"/>
      <x:c r="M63" s="6" t="str">
        <x:v>HAL open archive</x:v>
      </x:c>
      <x:c r="N63" s="6" t="str">
        <x:v>free_full_read; free_download</x:v>
      </x:c>
      <x:c r="O63" s="6" t="str">
        <x:v>complete_work_or_corpus</x:v>
      </x:c>
      <x:c r="P63" s="6" t="str">
        <x:v>HTML; PDF</x:v>
      </x:c>
      <x:c r="Q63" s="44" t="str">
        <x:v>https://hal.science/hal-03700954</x:v>
      </x:c>
      <x:c r="R63" s="44" t="str"/>
      <x:c r="S63" s="44" t="str">
        <x:v>HAL hal-03700954</x:v>
      </x:c>
      <x:c r="T63" s="6" t="str">
        <x:v>verified_live_and_rights_checked</x:v>
      </x:c>
      <x:c r="U63" s="18" t="str">
        <x:v>Современная научная работа защищена авторским правом.</x:v>
      </x:c>
      <x:c r="V63" s="18" t="str">
        <x:v>Современный текст/редакция охраняются согласно указанной лицензии или условиям репозитория.</x:v>
      </x:c>
      <x:c r="W63" s="18" t="str">
        <x:v>Free full text in HAL; no explicit CC license confirmed for the deposited file in this pass</x:v>
      </x:c>
      <x:c r="X63" s="18" t="str">
        <x:v>Free full text in HAL; no explicit CC license confirmed for the deposited file in this pass</x:v>
      </x:c>
      <x:c r="Y63" s="18" t="str">
        <x:v>Free full text in HAL; no explicit CC license confirmed for the deposited file in this pass</x:v>
      </x:c>
      <x:c r="Z63" s="18" t="str">
        <x:v>Текст статьи и официальный файл; права на включённые изображения древних объектов и данные третьих лиц могут отличаться.</x:v>
      </x:c>
      <x:c r="AA63" s="18" t="str">
        <x:v>LINK_OK; FREE_READ; FREE_DOWNLOAD; LOCAL_RESEARCH_COPY; LINK_ONLY; RIGHTS_REVIEW_REQUIRED</x:v>
      </x:c>
      <x:c r="AB63" s="18" t="str">
        <x:v>Не самостоятельная чистая основа для нового перевода древнего корпуса; использовать как научный комментарий, транслитерационную сверку или описание метода.</x:v>
      </x:c>
      <x:c r="AC63" s="48" t="str">
        <x:v>https://hal.science/hal-03700954</x:v>
      </x:c>
      <x:c r="AD63" s="18" t="str">
        <x:v>2026-09-03</x:v>
      </x:c>
      <x:c r="AE63" s="18" t="str">
        <x:v>Medium</x:v>
      </x:c>
      <x:c r="AF63" s="24" t="str">
        <x:v>Places proto-Elamite and Linear Elamite in a longer plateau-centred sequence.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64" ht="108" customHeight="1">
      <x:c r="A64" s="23" t="str">
        <x:v>A07-R063</x:v>
      </x:c>
      <x:c r="B64" s="16" t="str">
        <x:v>A07</x:v>
      </x:c>
      <x:c r="C64" s="16" t="str">
        <x:v>supporting</x:v>
      </x:c>
      <x:c r="D64" s="6" t="str">
        <x:v>On Newly Proposed Proto-Elamite Sign Values</x:v>
      </x:c>
      <x:c r="E64" s="6" t="str"/>
      <x:c r="F64" s="6" t="str">
        <x:v>Kathryn E. Kelley et al.</x:v>
      </x:c>
      <x:c r="G64" s="6" t="str">
        <x:v>2024</x:v>
      </x:c>
      <x:c r="H64" s="6" t="str">
        <x:v>translation_or_edition</x:v>
      </x:c>
      <x:c r="I64" s="6" t="str">
        <x:v>Современное защищённое научное издание</x:v>
      </x:c>
      <x:c r="J64" s="6" t="str">
        <x:v>English</x:v>
      </x:c>
      <x:c r="K64" s="6" t="str"/>
      <x:c r="L64" s="6" t="str"/>
      <x:c r="M64" s="6" t="str">
        <x:v>Peeters Online Journals</x:v>
      </x:c>
      <x:c r="N64" s="6" t="str">
        <x:v>institutional_access; preview_or_snippet; purchase</x:v>
      </x:c>
      <x:c r="O64" s="6" t="str">
        <x:v>complete_work_or_corpus</x:v>
      </x:c>
      <x:c r="P64" s="6" t="str">
        <x:v>HTML preview/metadata; PDF/eBook or print subject to access</x:v>
      </x:c>
      <x:c r="Q64" s="44" t="str">
        <x:v>https://poj.peeters-leuven.be/content.php?url=article&amp;id=3290624</x:v>
      </x:c>
      <x:c r="R64" s="44" t="str"/>
      <x:c r="S64" s="44" t="str"/>
      <x:c r="T64" s="6" t="str">
        <x:v>verified_live</x:v>
      </x:c>
      <x:c r="U64" s="18" t="str">
        <x:v>Современная работа in copyright.</x:v>
      </x:c>
      <x:c r="V64" s="18" t="str">
        <x:v>Защищённое издание; чтение по подписке, покупке или библиотечному доступу.</x:v>
      </x:c>
      <x:c r="W64" s="18" t="str">
        <x:v>Право повторного распространения не установлено.</x:v>
      </x:c>
      <x:c r="X64" s="18" t="str">
        <x:v>Publisher terms; institutional login or purchase.</x:v>
      </x:c>
      <x:c r="Y64" s="18" t="str">
        <x:v>In Copyright</x:v>
      </x:c>
      <x:c r="Z64" s="18" t="str">
        <x:v>Link/preview/borrow/purchase only unless a separate license is obtained.</x:v>
      </x:c>
      <x:c r="AA64" s="18" t="str">
        <x:v>LINK_OK; PREVIEW_ONLY; PURCHASE; LINK_ONLY; LIBRARY_BORROW</x:v>
      </x:c>
      <x:c r="AB64" s="18" t="str">
        <x:v>Защищённый современный научный текст не является чистой основой для свободного собственного перевода древнего корпуса.</x:v>
      </x:c>
      <x:c r="AC64" s="48" t="str">
        <x:v>https://poj.peeters-leuven.be/content.php?url=article&amp;id=3290624</x:v>
      </x:c>
      <x:c r="AD64" s="18" t="str">
        <x:v>2026-09-03</x:v>
      </x:c>
      <x:c r="AE64" s="18" t="str">
        <x:v>High</x:v>
      </x:c>
      <x:c r="AF64" s="24" t="str">
        <x:v>Important critical response to proposed readings; preserve as institutional/purchase route.</x:v>
      </x:c>
    </x:row>
    <x:row r="65" ht="108" customHeight="1">
      <x:c r="A65" s="23" t="str">
        <x:v>A07-R064</x:v>
      </x:c>
      <x:c r="B65" s="16" t="str">
        <x:v>A07</x:v>
      </x:c>
      <x:c r="C65" s="16" t="str">
        <x:v>supporting</x:v>
      </x:c>
      <x:c r="D65" s="6" t="str">
        <x:v>The Archaeology of Elam: Formation and Transformation of an Ancient Iranian State</x:v>
      </x:c>
      <x:c r="E65" s="6" t="str"/>
      <x:c r="F65" s="6" t="str">
        <x:v>D. T. Potts</x:v>
      </x:c>
      <x:c r="G65" s="6" t="str">
        <x:v>2016</x:v>
      </x:c>
      <x:c r="H65" s="6" t="str">
        <x:v>secondary_navigation</x:v>
      </x:c>
      <x:c r="I65" s="6" t="str">
        <x:v>Современное защищённое научное издание</x:v>
      </x:c>
      <x:c r="J65" s="6" t="str">
        <x:v>English</x:v>
      </x:c>
      <x:c r="K65" s="6" t="str"/>
      <x:c r="L65" s="6" t="str"/>
      <x:c r="M65" s="6" t="str">
        <x:v>Cambridge University Press</x:v>
      </x:c>
      <x:c r="N65" s="6" t="str">
        <x:v>institutional_access; preview_or_snippet; purchase</x:v>
      </x:c>
      <x:c r="O65" s="6" t="str">
        <x:v>commentary_or_reference_only</x:v>
      </x:c>
      <x:c r="P65" s="6" t="str">
        <x:v>HTML preview/metadata; PDF/eBook or print subject to access</x:v>
      </x:c>
      <x:c r="Q65" s="44" t="str">
        <x:v>https://www.cambridge.org/core/books/archaeology-of-elam/82B953741DC3EACB7687EDCF26C0B6D7</x:v>
      </x:c>
      <x:c r="R65" s="44" t="str"/>
      <x:c r="S65" s="44" t="str"/>
      <x:c r="T65" s="6" t="str">
        <x:v>verified_live</x:v>
      </x:c>
      <x:c r="U65" s="18" t="str">
        <x:v>Современная работа in copyright.</x:v>
      </x:c>
      <x:c r="V65" s="18" t="str">
        <x:v>Защищённое издание; чтение по подписке, покупке или библиотечному доступу.</x:v>
      </x:c>
      <x:c r="W65" s="18" t="str">
        <x:v>Право повторного распространения не установлено.</x:v>
      </x:c>
      <x:c r="X65" s="18" t="str">
        <x:v>Publisher terms; institutional login or purchase.</x:v>
      </x:c>
      <x:c r="Y65" s="18" t="str">
        <x:v>In Copyright</x:v>
      </x:c>
      <x:c r="Z65" s="18" t="str">
        <x:v>Link/preview/borrow/purchase only unless a separate license is obtained.</x:v>
      </x:c>
      <x:c r="AA65" s="18" t="str">
        <x:v>LINK_OK; PREVIEW_ONLY; PURCHASE; LINK_ONLY; LIBRARY_BORROW</x:v>
      </x:c>
      <x:c r="AB65" s="18" t="str">
        <x:v>Защищённый современный научный текст не является чистой основой для свободного собственного перевода древнего корпуса.</x:v>
      </x:c>
      <x:c r="AC65" s="48" t="str">
        <x:v>https://www.cambridge.org/core/books/archaeology-of-elam/82B953741DC3EACB7687EDCF26C0B6D7</x:v>
      </x:c>
      <x:c r="AD65" s="18" t="str">
        <x:v>2026-09-03</x:v>
      </x:c>
      <x:c r="AE65" s="18" t="str">
        <x:v>High</x:v>
      </x:c>
      <x:c r="AF65" s="24" t="str">
        <x:v>Major archaeological synthesis used to contextualize Susa, Anshan and later Elam; not a primary text edition.</x:v>
      </x:c>
    </x:row>
    <x:row r="66" ht="108" customHeight="1">
      <x:c r="A66" s="23" t="str">
        <x:v>A07-R065</x:v>
      </x:c>
      <x:c r="B66" s="16" t="str">
        <x:v>A07</x:v>
      </x:c>
      <x:c r="C66" s="16" t="str">
        <x:v>supporting</x:v>
      </x:c>
      <x:c r="D66" s="6" t="str">
        <x:v>The Elamite World</x:v>
      </x:c>
      <x:c r="E66" s="6" t="str"/>
      <x:c r="F66" s="6" t="str">
        <x:v>Javier Álvarez-Mon, Gian Pietro Basello and Yasmina Wicks (eds.)</x:v>
      </x:c>
      <x:c r="G66" s="6" t="str">
        <x:v>2018</x:v>
      </x:c>
      <x:c r="H66" s="6" t="str">
        <x:v>secondary_navigation</x:v>
      </x:c>
      <x:c r="I66" s="6" t="str">
        <x:v>Современное защищённое научное издание</x:v>
      </x:c>
      <x:c r="J66" s="6" t="str">
        <x:v>English</x:v>
      </x:c>
      <x:c r="K66" s="6" t="str"/>
      <x:c r="L66" s="6" t="str"/>
      <x:c r="M66" s="6" t="str">
        <x:v>Routledge</x:v>
      </x:c>
      <x:c r="N66" s="6" t="str">
        <x:v>institutional_access; preview_or_snippet; purchase</x:v>
      </x:c>
      <x:c r="O66" s="6" t="str">
        <x:v>commentary_or_reference_only</x:v>
      </x:c>
      <x:c r="P66" s="6" t="str">
        <x:v>HTML preview/metadata; PDF/eBook or print subject to access</x:v>
      </x:c>
      <x:c r="Q66" s="44" t="str">
        <x:v>https://www.routledge.com/The-Elamite-World/Alvarez-Mon-Basello-Wicks/p/book/9780367780846</x:v>
      </x:c>
      <x:c r="R66" s="44" t="str"/>
      <x:c r="S66" s="44" t="str"/>
      <x:c r="T66" s="6" t="str">
        <x:v>verified_live</x:v>
      </x:c>
      <x:c r="U66" s="18" t="str">
        <x:v>Современная работа in copyright.</x:v>
      </x:c>
      <x:c r="V66" s="18" t="str">
        <x:v>Защищённое издание; чтение по подписке, покупке или библиотечному доступу.</x:v>
      </x:c>
      <x:c r="W66" s="18" t="str">
        <x:v>Право повторного распространения не установлено.</x:v>
      </x:c>
      <x:c r="X66" s="18" t="str">
        <x:v>Publisher terms; institutional login or purchase.</x:v>
      </x:c>
      <x:c r="Y66" s="18" t="str">
        <x:v>In Copyright</x:v>
      </x:c>
      <x:c r="Z66" s="18" t="str">
        <x:v>Link/preview/borrow/purchase only unless a separate license is obtained.</x:v>
      </x:c>
      <x:c r="AA66" s="18" t="str">
        <x:v>LINK_OK; PREVIEW_ONLY; PURCHASE; LINK_ONLY; LIBRARY_BORROW</x:v>
      </x:c>
      <x:c r="AB66" s="18" t="str">
        <x:v>Защищённый современный научный текст не является чистой основой для свободного собственного перевода древнего корпуса.</x:v>
      </x:c>
      <x:c r="AC66" s="48" t="str">
        <x:v>https://www.routledge.com/The-Elamite-World/Alvarez-Mon-Basello-Wicks/p/book/9780367780846</x:v>
      </x:c>
      <x:c r="AD66" s="18" t="str">
        <x:v>2026-09-03</x:v>
      </x:c>
      <x:c r="AE66" s="18" t="str">
        <x:v>High</x:v>
      </x:c>
      <x:c r="AF66" s="24" t="str">
        <x:v>Current multi-author reference work, including writing systems and textual traditions; modern protected scholarship.</x:v>
      </x:c>
    </x:row>
    <x:row r="67" ht="108" customHeight="1">
      <x:c r="A67" s="23" t="str">
        <x:v>A07-R066</x:v>
      </x:c>
      <x:c r="B67" s="16" t="str">
        <x:v>A07</x:v>
      </x:c>
      <x:c r="C67" s="16" t="str">
        <x:v>secondary_navigation</x:v>
      </x:c>
      <x:c r="D67" s="6" t="str">
        <x:v>Encyclopaedia Iranica: Elam iii. Proto-Elamite</x:v>
      </x:c>
      <x:c r="E67" s="6" t="str">
        <x:v>ELAM iii. Proto-Elamite</x:v>
      </x:c>
      <x:c r="F67" s="6" t="str">
        <x:v>Encyclopaedia Iranica contributors</x:v>
      </x:c>
      <x:c r="G67" s="6" t="str">
        <x:v>modern reference article</x:v>
      </x:c>
      <x:c r="H67" s="6" t="str">
        <x:v>secondary_navigation</x:v>
      </x:c>
      <x:c r="I67" s="6" t="str">
        <x:v>Online encyclopedia entry</x:v>
      </x:c>
      <x:c r="J67" s="6" t="str">
        <x:v>English</x:v>
      </x:c>
      <x:c r="K67" s="6" t="str"/>
      <x:c r="L67" s="6" t="str"/>
      <x:c r="M67" s="6" t="str">
        <x:v>Encyclopaedia Iranica</x:v>
      </x:c>
      <x:c r="N67" s="6" t="str">
        <x:v>free_full_read</x:v>
      </x:c>
      <x:c r="O67" s="6" t="str">
        <x:v>commentary_or_reference_only</x:v>
      </x:c>
      <x:c r="P67" s="6" t="str">
        <x:v>HTML</x:v>
      </x:c>
      <x:c r="Q67" s="44" t="str">
        <x:v>https://www.iranicaonline.org/articles/elam-iii</x:v>
      </x:c>
      <x:c r="R67" s="44" t="str"/>
      <x:c r="S67" s="44" t="str">
        <x:v>Iranica: Elam iii</x:v>
      </x:c>
      <x:c r="T67" s="6" t="str">
        <x:v>verified_in_research_pass</x:v>
      </x:c>
      <x:c r="U67" s="18" t="str">
        <x:v>Modern reference article in copyright.</x:v>
      </x:c>
      <x:c r="V67" s="18" t="str">
        <x:v>Free online reading; no open reuse license established.</x:v>
      </x:c>
      <x:c r="W67" s="18" t="str">
        <x:v>Website text in copyright.</x:v>
      </x:c>
      <x:c r="X67" s="18" t="str">
        <x:v>Iranica terms.</x:v>
      </x:c>
      <x:c r="Y67" s="18" t="str">
        <x:v>In Copyright</x:v>
      </x:c>
      <x:c r="Z67" s="18" t="str">
        <x:v>Link/read only; use as navigation to bibliography and terminology.</x:v>
      </x:c>
      <x:c r="AA67" s="18" t="str">
        <x:v>LINK_OK; FREE_READ; LINK_ONLY</x:v>
      </x:c>
      <x:c r="AB67" s="18" t="str">
        <x:v>None.</x:v>
      </x:c>
      <x:c r="AC67" s="48" t="str">
        <x:v>https://www.iranicaonline.org/</x:v>
      </x:c>
      <x:c r="AD67" s="18" t="str">
        <x:v>2026-09-03</x:v>
      </x:c>
      <x:c r="AE67" s="18" t="str">
        <x:v>Medium</x:v>
      </x:c>
      <x:c r="AF67" s="24" t="str">
        <x:v>High-value secondary navigation, not counted as a primary work/corpus.</x:v>
      </x:c>
    </x:row>
    <x:row r="68" ht="108" customHeight="1">
      <x:c r="A68" s="23" t="str">
        <x:v>A07-R067</x:v>
      </x:c>
      <x:c r="B68" s="16" t="str">
        <x:v>A07</x:v>
      </x:c>
      <x:c r="C68" s="16" t="str">
        <x:v>secondary_navigation</x:v>
      </x:c>
      <x:c r="D68" s="6" t="str">
        <x:v>Encyclopaedia Iranica: Elam iv. Linear Elamite</x:v>
      </x:c>
      <x:c r="E68" s="6" t="str">
        <x:v>ELAM iv. Linear Elamite</x:v>
      </x:c>
      <x:c r="F68" s="6" t="str">
        <x:v>Encyclopaedia Iranica contributors</x:v>
      </x:c>
      <x:c r="G68" s="6" t="str">
        <x:v>modern reference article</x:v>
      </x:c>
      <x:c r="H68" s="6" t="str">
        <x:v>secondary_navigation</x:v>
      </x:c>
      <x:c r="I68" s="6" t="str">
        <x:v>Online encyclopedia entry</x:v>
      </x:c>
      <x:c r="J68" s="6" t="str">
        <x:v>English</x:v>
      </x:c>
      <x:c r="K68" s="6" t="str"/>
      <x:c r="L68" s="6" t="str"/>
      <x:c r="M68" s="6" t="str">
        <x:v>Encyclopaedia Iranica</x:v>
      </x:c>
      <x:c r="N68" s="6" t="str">
        <x:v>free_full_read</x:v>
      </x:c>
      <x:c r="O68" s="6" t="str">
        <x:v>commentary_or_reference_only</x:v>
      </x:c>
      <x:c r="P68" s="6" t="str">
        <x:v>HTML</x:v>
      </x:c>
      <x:c r="Q68" s="44" t="str">
        <x:v>https://www.iranicaonline.org/articles/elam-iv</x:v>
      </x:c>
      <x:c r="R68" s="44" t="str"/>
      <x:c r="S68" s="44" t="str">
        <x:v>Iranica: Elam iv</x:v>
      </x:c>
      <x:c r="T68" s="6" t="str">
        <x:v>verified_in_research_pass</x:v>
      </x:c>
      <x:c r="U68" s="18" t="str">
        <x:v>Modern reference article in copyright.</x:v>
      </x:c>
      <x:c r="V68" s="18" t="str">
        <x:v>Free online reading; no open reuse license established.</x:v>
      </x:c>
      <x:c r="W68" s="18" t="str">
        <x:v>Website text in copyright.</x:v>
      </x:c>
      <x:c r="X68" s="18" t="str">
        <x:v>Iranica terms.</x:v>
      </x:c>
      <x:c r="Y68" s="18" t="str">
        <x:v>In Copyright</x:v>
      </x:c>
      <x:c r="Z68" s="18" t="str">
        <x:v>Link/read only.</x:v>
      </x:c>
      <x:c r="AA68" s="18" t="str">
        <x:v>LINK_OK; FREE_READ; LINK_ONLY</x:v>
      </x:c>
      <x:c r="AB68" s="18" t="str">
        <x:v>None.</x:v>
      </x:c>
      <x:c r="AC68" s="48" t="str">
        <x:v>https://www.iranicaonline.org/</x:v>
      </x:c>
      <x:c r="AD68" s="18" t="str">
        <x:v>2026-09-03</x:v>
      </x:c>
      <x:c r="AE68" s="18" t="str">
        <x:v>Medium</x:v>
      </x:c>
      <x:c r="AF68" s="24" t="str">
        <x:v>Historical bibliography and sign-list navigation; current decipherment claims should be checked against 2022–2026 editions.</x:v>
      </x:c>
    </x:row>
    <x:row r="69" ht="108" customHeight="1">
      <x:c r="A69" s="23" t="str">
        <x:v>A07-R068</x:v>
      </x:c>
      <x:c r="B69" s="16" t="str">
        <x:v>A07</x:v>
      </x:c>
      <x:c r="C69" s="16" t="str">
        <x:v>secondary_navigation</x:v>
      </x:c>
      <x:c r="D69" s="6" t="str">
        <x:v>Who Was an Elamite?</x:v>
      </x:c>
      <x:c r="E69" s="6" t="str">
        <x:v>ANE Today overview</x:v>
      </x:c>
      <x:c r="F69" s="6" t="str">
        <x:v>Ancient Near East Today contributors</x:v>
      </x:c>
      <x:c r="G69" s="6" t="str">
        <x:v>modern overview</x:v>
      </x:c>
      <x:c r="H69" s="6" t="str">
        <x:v>secondary_navigation</x:v>
      </x:c>
      <x:c r="I69" s="6" t="str">
        <x:v>Public-facing research overview</x:v>
      </x:c>
      <x:c r="J69" s="6" t="str">
        <x:v>English</x:v>
      </x:c>
      <x:c r="K69" s="6" t="str"/>
      <x:c r="L69" s="6" t="str"/>
      <x:c r="M69" s="6" t="str">
        <x:v>American Society of Overseas Research / ANE Today</x:v>
      </x:c>
      <x:c r="N69" s="6" t="str">
        <x:v>free_full_read</x:v>
      </x:c>
      <x:c r="O69" s="6" t="str">
        <x:v>commentary_or_reference_only</x:v>
      </x:c>
      <x:c r="P69" s="6" t="str">
        <x:v>HTML</x:v>
      </x:c>
      <x:c r="Q69" s="44" t="str">
        <x:v>https://anetoday.org/who-was-elamite/</x:v>
      </x:c>
      <x:c r="R69" s="44" t="str"/>
      <x:c r="S69" s="44" t="str">
        <x:v>ANE Today article</x:v>
      </x:c>
      <x:c r="T69" s="6" t="str">
        <x:v>verified_in_research_pass</x:v>
      </x:c>
      <x:c r="U69" s="18" t="str">
        <x:v>Modern article in copyright.</x:v>
      </x:c>
      <x:c r="V69" s="18" t="str">
        <x:v>Free reading; no open license established.</x:v>
      </x:c>
      <x:c r="W69" s="18" t="str">
        <x:v>Website content in copyright.</x:v>
      </x:c>
      <x:c r="X69" s="18" t="str">
        <x:v>ASOR/ANE Today terms.</x:v>
      </x:c>
      <x:c r="Y69" s="18" t="str">
        <x:v>In Copyright</x:v>
      </x:c>
      <x:c r="Z69" s="18" t="str">
        <x:v>Link/read only.</x:v>
      </x:c>
      <x:c r="AA69" s="18" t="str">
        <x:v>LINK_OK; FREE_READ; LINK_ONLY</x:v>
      </x:c>
      <x:c r="AB69" s="18" t="str">
        <x:v>None.</x:v>
      </x:c>
      <x:c r="AC69" s="48" t="str">
        <x:v>https://anetoday.org/</x:v>
      </x:c>
      <x:c r="AD69" s="18" t="str">
        <x:v>2026-09-03</x:v>
      </x:c>
      <x:c r="AE69" s="18" t="str">
        <x:v>Medium</x:v>
      </x:c>
      <x:c r="AF69" s="24" t="str">
        <x:v>Useful public navigation, deliberately not used as evidence for component-level rights.</x:v>
      </x:c>
    </x:row>
    <x:row r="70" ht="108" customHeight="1">
      <x:c r="A70" s="23" t="str">
        <x:v>A07-R069</x:v>
      </x:c>
      <x:c r="B70" s="16" t="str">
        <x:v>A07</x:v>
      </x:c>
      <x:c r="C70" s="16" t="str">
        <x:v>supporting</x:v>
      </x:c>
      <x:c r="D70" s="6" t="str">
        <x:v>Sign Clustering and Topic Extraction in Proto-Elamite</x:v>
      </x:c>
      <x:c r="E70" s="6" t="str"/>
      <x:c r="F70" s="6" t="str">
        <x:v>Niko Partanen et al.</x:v>
      </x:c>
      <x:c r="G70" s="6" t="str">
        <x:v>2019</x:v>
      </x:c>
      <x:c r="H70" s="6" t="str">
        <x:v>translation_or_edition</x:v>
      </x:c>
      <x:c r="I70" s="6" t="str">
        <x:v>Научная публикация / современный исследовательский слой</x:v>
      </x:c>
      <x:c r="J70" s="6" t="str">
        <x:v>English</x:v>
      </x:c>
      <x:c r="K70" s="6" t="str"/>
      <x:c r="L70" s="6" t="str"/>
      <x:c r="M70" s="6" t="str">
        <x:v>ACL Anthology</x:v>
      </x:c>
      <x:c r="N70" s="6" t="str">
        <x:v>free_full_read; free_download</x:v>
      </x:c>
      <x:c r="O70" s="6" t="str">
        <x:v>complete_work_or_corpus</x:v>
      </x:c>
      <x:c r="P70" s="6" t="str">
        <x:v>HTML; PDF; BibTeX; supplementary data where offered</x:v>
      </x:c>
      <x:c r="Q70" s="44" t="str">
        <x:v>https://aclanthology.org/W19-2516/</x:v>
      </x:c>
      <x:c r="R70" s="44" t="str">
        <x:v>https://aclanthology.org/W19-2516.pdf</x:v>
      </x:c>
      <x:c r="S70" s="44" t="str">
        <x:v>10.18653/v1/W19-2516</x:v>
      </x:c>
      <x:c r="T70" s="6" t="str">
        <x:v>verified_live_and_rights_checked</x:v>
      </x:c>
      <x:c r="U70" s="18" t="str">
        <x:v>Современная научная работа защищена авторским правом.</x:v>
      </x:c>
      <x:c r="V70" s="18" t="str">
        <x:v>Современный текст/редакция охраняются согласно указанной лицензии или условиям репозитория.</x:v>
      </x:c>
      <x:c r="W70" s="18" t="str">
        <x:v>CC BY 4.0 for paper text under ACL Anthology policy; underlying CDLI data/images retain their own rights</x:v>
      </x:c>
      <x:c r="X70" s="18" t="str">
        <x:v>CC BY 4.0 for paper text under ACL Anthology policy; underlying CDLI data/images retain their own rights</x:v>
      </x:c>
      <x:c r="Y70" s="18" t="str">
        <x:v>CC BY 4.0 for paper text under ACL Anthology policy; underlying CDLI data/images retain their own rights</x:v>
      </x:c>
      <x:c r="Z70" s="18" t="str">
        <x:v>Текст статьи и официальный файл; права на включённые изображения древних объектов и данные третьих лиц могут отличаться.</x:v>
      </x:c>
      <x:c r="AA70" s="18" t="str">
        <x:v>LINK_OK; FREE_READ; FREE_DOWNLOAD; LOCAL_RESEARCH_COPY; MIRROR_WITH_ATTRIBUTION; OCR_OK; FULLTEXT_INDEX_OK; EMBEDDINGS_OK</x:v>
      </x:c>
      <x:c r="AB70" s="18" t="str">
        <x:v>Не самостоятельная чистая основа для нового перевода древнего корпуса; использовать как научный комментарий, транслитерационную сверку или описание метода.</x:v>
      </x:c>
      <x:c r="AC70" s="48" t="str">
        <x:v>https://aclanthology.org/info/copyright/</x:v>
      </x:c>
      <x:c r="AD70" s="18" t="str">
        <x:v>2026-09-03</x:v>
      </x:c>
      <x:c r="AE70" s="18" t="str">
        <x:v>Medium</x:v>
      </x:c>
      <x:c r="AF70" s="24" t="str">
        <x:v>Reproducible computational route for sign clustering/topic extraction; does not itself relicense the source corpus.</x:v>
      </x:c>
    </x:row>
    <x:row r="71" ht="108" customHeight="1">
      <x:c r="A71" s="23" t="str">
        <x:v>A07-R070</x:v>
      </x:c>
      <x:c r="B71" s="16" t="str">
        <x:v>A07</x:v>
      </x:c>
      <x:c r="C71" s="16" t="str">
        <x:v>supporting</x:v>
      </x:c>
      <x:c r="D71" s="6" t="str">
        <x:v>The Compositionality of Complex Graphemes in Proto-Elamite</x:v>
      </x:c>
      <x:c r="E71" s="6" t="str"/>
      <x:c r="F71" s="6" t="str">
        <x:v>Computational linguistics authors</x:v>
      </x:c>
      <x:c r="G71" s="6" t="str">
        <x:v>2021</x:v>
      </x:c>
      <x:c r="H71" s="6" t="str">
        <x:v>translation_or_edition</x:v>
      </x:c>
      <x:c r="I71" s="6" t="str">
        <x:v>Научная публикация / современный исследовательский слой</x:v>
      </x:c>
      <x:c r="J71" s="6" t="str">
        <x:v>English</x:v>
      </x:c>
      <x:c r="K71" s="6" t="str"/>
      <x:c r="L71" s="6" t="str"/>
      <x:c r="M71" s="6" t="str">
        <x:v>ACL Anthology</x:v>
      </x:c>
      <x:c r="N71" s="6" t="str">
        <x:v>free_full_read; free_download</x:v>
      </x:c>
      <x:c r="O71" s="6" t="str">
        <x:v>complete_work_or_corpus</x:v>
      </x:c>
      <x:c r="P71" s="6" t="str">
        <x:v>HTML; PDF; BibTeX; supplementary data where offered</x:v>
      </x:c>
      <x:c r="Q71" s="44" t="str">
        <x:v>https://aclanthology.org/2021.findings-acl.392/</x:v>
      </x:c>
      <x:c r="R71" s="44" t="str">
        <x:v>https://aclanthology.org/2021.findings-acl.392.pdf</x:v>
      </x:c>
      <x:c r="S71" s="44" t="str">
        <x:v>10.18653/v1/2021.findings-acl.392</x:v>
      </x:c>
      <x:c r="T71" s="6" t="str">
        <x:v>verified_live_and_rights_checked</x:v>
      </x:c>
      <x:c r="U71" s="18" t="str">
        <x:v>Современная научная работа защищена авторским правом.</x:v>
      </x:c>
      <x:c r="V71" s="18" t="str">
        <x:v>Современный текст/редакция охраняются согласно указанной лицензии или условиям репозитория.</x:v>
      </x:c>
      <x:c r="W71" s="18" t="str">
        <x:v>CC BY 4.0 for paper text; underlying corpus/data and figures may carry separate terms</x:v>
      </x:c>
      <x:c r="X71" s="18" t="str">
        <x:v>CC BY 4.0 for paper text; underlying corpus/data and figures may carry separate terms</x:v>
      </x:c>
      <x:c r="Y71" s="18" t="str">
        <x:v>CC BY 4.0 for paper text; underlying corpus/data and figures may carry separate terms</x:v>
      </x:c>
      <x:c r="Z71" s="18" t="str">
        <x:v>Текст статьи и официальный файл; права на включённые изображения древних объектов и данные третьих лиц могут отличаться.</x:v>
      </x:c>
      <x:c r="AA71" s="18" t="str">
        <x:v>LINK_OK; FREE_READ; FREE_DOWNLOAD; LOCAL_RESEARCH_COPY; MIRROR_WITH_ATTRIBUTION; OCR_OK; FULLTEXT_INDEX_OK; EMBEDDINGS_OK</x:v>
      </x:c>
      <x:c r="AB71" s="18" t="str">
        <x:v>Не самостоятельная чистая основа для нового перевода древнего корпуса; использовать как научный комментарий, транслитерационную сверку или описание метода.</x:v>
      </x:c>
      <x:c r="AC71" s="48" t="str">
        <x:v>https://aclanthology.org/info/copyright/</x:v>
      </x:c>
      <x:c r="AD71" s="18" t="str">
        <x:v>2026-09-03</x:v>
      </x:c>
      <x:c r="AE71" s="18" t="str">
        <x:v>Medium</x:v>
      </x:c>
      <x:c r="AF71" s="24" t="str">
        <x:v>Modern computational continuation of Dahl’s grapheme analysis.</x:v>
      </x:c>
    </x:row>
    <x:row r="72" ht="108" customHeight="1">
      <x:c r="A72" s="23" t="str">
        <x:v>A07-R071</x:v>
      </x:c>
      <x:c r="B72" s="16" t="str">
        <x:v>A07</x:v>
      </x:c>
      <x:c r="C72" s="16" t="str">
        <x:v>supporting</x:v>
      </x:c>
      <x:c r="D72" s="6" t="str">
        <x:v>Extracting Syntax from Proto-Elamite</x:v>
      </x:c>
      <x:c r="E72" s="6" t="str"/>
      <x:c r="F72" s="6" t="str">
        <x:v>Computational linguistics authors</x:v>
      </x:c>
      <x:c r="G72" s="6" t="str">
        <x:v>2022</x:v>
      </x:c>
      <x:c r="H72" s="6" t="str">
        <x:v>translation_or_edition</x:v>
      </x:c>
      <x:c r="I72" s="6" t="str">
        <x:v>Научная публикация / современный исследовательский слой</x:v>
      </x:c>
      <x:c r="J72" s="6" t="str">
        <x:v>English</x:v>
      </x:c>
      <x:c r="K72" s="6" t="str"/>
      <x:c r="L72" s="6" t="str"/>
      <x:c r="M72" s="6" t="str">
        <x:v>ACL Anthology</x:v>
      </x:c>
      <x:c r="N72" s="6" t="str">
        <x:v>free_full_read; free_download</x:v>
      </x:c>
      <x:c r="O72" s="6" t="str">
        <x:v>complete_work_or_corpus</x:v>
      </x:c>
      <x:c r="P72" s="6" t="str">
        <x:v>HTML; PDF; BibTeX; supplementary data where offered</x:v>
      </x:c>
      <x:c r="Q72" s="44" t="str">
        <x:v>https://aclanthology.org/2022.emnlp-main.620/</x:v>
      </x:c>
      <x:c r="R72" s="44" t="str">
        <x:v>https://aclanthology.org/2022.emnlp-main.620.pdf</x:v>
      </x:c>
      <x:c r="S72" s="44" t="str">
        <x:v>10.18653/v1/2022.emnlp-main.620</x:v>
      </x:c>
      <x:c r="T72" s="6" t="str">
        <x:v>verified_live_and_rights_checked</x:v>
      </x:c>
      <x:c r="U72" s="18" t="str">
        <x:v>Современная научная работа защищена авторским правом.</x:v>
      </x:c>
      <x:c r="V72" s="18" t="str">
        <x:v>Современный текст/редакция охраняются согласно указанной лицензии или условиям репозитория.</x:v>
      </x:c>
      <x:c r="W72" s="18" t="str">
        <x:v>CC BY 4.0 for paper text; source corpus and supplementary materials must be checked separately</x:v>
      </x:c>
      <x:c r="X72" s="18" t="str">
        <x:v>CC BY 4.0 for paper text; source corpus and supplementary materials must be checked separately</x:v>
      </x:c>
      <x:c r="Y72" s="18" t="str">
        <x:v>CC BY 4.0 for paper text; source corpus and supplementary materials must be checked separately</x:v>
      </x:c>
      <x:c r="Z72" s="18" t="str">
        <x:v>Текст статьи и официальный файл; права на включённые изображения древних объектов и данные третьих лиц могут отличаться.</x:v>
      </x:c>
      <x:c r="AA72" s="18" t="str">
        <x:v>LINK_OK; FREE_READ; FREE_DOWNLOAD; LOCAL_RESEARCH_COPY; MIRROR_WITH_ATTRIBUTION; OCR_OK; FULLTEXT_INDEX_OK; EMBEDDINGS_OK</x:v>
      </x:c>
      <x:c r="AB72" s="18" t="str">
        <x:v>Не самостоятельная чистая основа для нового перевода древнего корпуса; использовать как научный комментарий, транслитерационную сверку или описание метода.</x:v>
      </x:c>
      <x:c r="AC72" s="48" t="str">
        <x:v>https://aclanthology.org/info/copyright/</x:v>
      </x:c>
      <x:c r="AD72" s="18" t="str">
        <x:v>2026-09-03</x:v>
      </x:c>
      <x:c r="AE72" s="18" t="str">
        <x:v>Medium</x:v>
      </x:c>
      <x:c r="AF72" s="24" t="str">
        <x:v>Important model-driven attempt to infer structural regularities from an undeciphered corpus.</x:v>
      </x:c>
    </x:row>
    <x:row r="73" ht="108" customHeight="1">
      <x:c r="A73" s="23" t="str">
        <x:v>A07-R072</x:v>
      </x:c>
      <x:c r="B73" s="16" t="str">
        <x:v>A07</x:v>
      </x:c>
      <x:c r="C73" s="16" t="str">
        <x:v>supporting</x:v>
      </x:c>
      <x:c r="D73" s="6" t="str">
        <x:v>Disambiguating the Proto-Elamite Numeral System</x:v>
      </x:c>
      <x:c r="E73" s="6" t="str"/>
      <x:c r="F73" s="6" t="str">
        <x:v>Computational linguistics authors</x:v>
      </x:c>
      <x:c r="G73" s="6" t="str">
        <x:v>2023</x:v>
      </x:c>
      <x:c r="H73" s="6" t="str">
        <x:v>translation_or_edition</x:v>
      </x:c>
      <x:c r="I73" s="6" t="str">
        <x:v>Научная публикация / современный исследовательский слой</x:v>
      </x:c>
      <x:c r="J73" s="6" t="str">
        <x:v>English</x:v>
      </x:c>
      <x:c r="K73" s="6" t="str"/>
      <x:c r="L73" s="6" t="str"/>
      <x:c r="M73" s="6" t="str">
        <x:v>ACL Anthology</x:v>
      </x:c>
      <x:c r="N73" s="6" t="str">
        <x:v>free_full_read; free_download</x:v>
      </x:c>
      <x:c r="O73" s="6" t="str">
        <x:v>complete_work_or_corpus</x:v>
      </x:c>
      <x:c r="P73" s="6" t="str">
        <x:v>HTML; PDF; BibTeX; supplementary data where offered</x:v>
      </x:c>
      <x:c r="Q73" s="44" t="str">
        <x:v>https://aclanthology.org/2023.cawl-1.9/</x:v>
      </x:c>
      <x:c r="R73" s="44" t="str">
        <x:v>https://aclanthology.org/2023.cawl-1.9.pdf</x:v>
      </x:c>
      <x:c r="S73" s="44" t="str">
        <x:v>10.18653/v1/2023.cawl-1.9</x:v>
      </x:c>
      <x:c r="T73" s="6" t="str">
        <x:v>verified_live_and_rights_checked</x:v>
      </x:c>
      <x:c r="U73" s="18" t="str">
        <x:v>Современная научная работа защищена авторским правом.</x:v>
      </x:c>
      <x:c r="V73" s="18" t="str">
        <x:v>Современный текст/редакция охраняются согласно указанной лицензии или условиям репозитория.</x:v>
      </x:c>
      <x:c r="W73" s="18" t="str">
        <x:v>CC BY 4.0 for paper text; any derived data remain subject to source-data terms</x:v>
      </x:c>
      <x:c r="X73" s="18" t="str">
        <x:v>CC BY 4.0 for paper text; any derived data remain subject to source-data terms</x:v>
      </x:c>
      <x:c r="Y73" s="18" t="str">
        <x:v>CC BY 4.0 for paper text; any derived data remain subject to source-data terms</x:v>
      </x:c>
      <x:c r="Z73" s="18" t="str">
        <x:v>Текст статьи и официальный файл; права на включённые изображения древних объектов и данные третьих лиц могут отличаться.</x:v>
      </x:c>
      <x:c r="AA73" s="18" t="str">
        <x:v>LINK_OK; FREE_READ; FREE_DOWNLOAD; LOCAL_RESEARCH_COPY; MIRROR_WITH_ATTRIBUTION; OCR_OK; FULLTEXT_INDEX_OK; EMBEDDINGS_OK</x:v>
      </x:c>
      <x:c r="AB73" s="18" t="str">
        <x:v>Не самостоятельная чистая основа для нового перевода древнего корпуса; использовать как научный комментарий, транслитерационную сверку или описание метода.</x:v>
      </x:c>
      <x:c r="AC73" s="48" t="str">
        <x:v>https://aclanthology.org/info/copyright/</x:v>
      </x:c>
      <x:c r="AD73" s="18" t="str">
        <x:v>2026-09-03</x:v>
      </x:c>
      <x:c r="AE73" s="18" t="str">
        <x:v>Medium</x:v>
      </x:c>
      <x:c r="AF73" s="24" t="str">
        <x:v>Directly useful for the numerical/metrological core of A07.</x:v>
      </x:c>
    </x:row>
    <x:row r="74" ht="108" customHeight="1">
      <x:c r="A74" s="23" t="str">
        <x:v>A07-R073</x:v>
      </x:c>
      <x:c r="B74" s="16" t="str">
        <x:v>A07</x:v>
      </x:c>
      <x:c r="C74" s="16" t="str">
        <x:v>supporting</x:v>
      </x:c>
      <x:c r="D74" s="6" t="str">
        <x:v>A Bayesian Approach to the Philological Decipherment of Proto-Elamite</x:v>
      </x:c>
      <x:c r="E74" s="6" t="str"/>
      <x:c r="F74" s="6" t="str">
        <x:v>Kathryn E. Kelley et al.</x:v>
      </x:c>
      <x:c r="G74" s="6" t="str">
        <x:v>2025</x:v>
      </x:c>
      <x:c r="H74" s="6" t="str">
        <x:v>translation_or_edition</x:v>
      </x:c>
      <x:c r="I74" s="6" t="str">
        <x:v>Научная публикация / современный исследовательский слой</x:v>
      </x:c>
      <x:c r="J74" s="6" t="str">
        <x:v>English</x:v>
      </x:c>
      <x:c r="K74" s="6" t="str"/>
      <x:c r="L74" s="6" t="str"/>
      <x:c r="M74" s="6" t="str">
        <x:v>ACL Anthology</x:v>
      </x:c>
      <x:c r="N74" s="6" t="str">
        <x:v>free_full_read; free_download</x:v>
      </x:c>
      <x:c r="O74" s="6" t="str">
        <x:v>complete_work_or_corpus</x:v>
      </x:c>
      <x:c r="P74" s="6" t="str">
        <x:v>HTML; PDF; BibTeX; supplementary data where offered</x:v>
      </x:c>
      <x:c r="Q74" s="44" t="str">
        <x:v>https://aclanthology.org/2025.findings-acl.601/</x:v>
      </x:c>
      <x:c r="R74" s="44" t="str">
        <x:v>https://aclanthology.org/2025.findings-acl.601.pdf</x:v>
      </x:c>
      <x:c r="S74" s="44" t="str">
        <x:v>10.18653/v1/2025.findings-acl.601</x:v>
      </x:c>
      <x:c r="T74" s="6" t="str">
        <x:v>verified_live_and_rights_checked</x:v>
      </x:c>
      <x:c r="U74" s="18" t="str">
        <x:v>Современная научная работа защищена авторским правом.</x:v>
      </x:c>
      <x:c r="V74" s="18" t="str">
        <x:v>Современный текст/редакция охраняются согласно указанной лицензии или условиям репозитория.</x:v>
      </x:c>
      <x:c r="W74" s="18" t="str">
        <x:v>CC BY 4.0 for paper text; underlying corpora and object images retain separate rights</x:v>
      </x:c>
      <x:c r="X74" s="18" t="str">
        <x:v>CC BY 4.0 for paper text; underlying corpora and object images retain separate rights</x:v>
      </x:c>
      <x:c r="Y74" s="18" t="str">
        <x:v>CC BY 4.0 for paper text; underlying corpora and object images retain separate rights</x:v>
      </x:c>
      <x:c r="Z74" s="18" t="str">
        <x:v>Текст статьи и официальный файл; права на включённые изображения древних объектов и данные третьих лиц могут отличаться.</x:v>
      </x:c>
      <x:c r="AA74" s="18" t="str">
        <x:v>LINK_OK; FREE_READ; FREE_DOWNLOAD; LOCAL_RESEARCH_COPY; MIRROR_WITH_ATTRIBUTION; OCR_OK; FULLTEXT_INDEX_OK; EMBEDDINGS_OK</x:v>
      </x:c>
      <x:c r="AB74" s="18" t="str">
        <x:v>Не самостоятельная чистая основа для нового перевода древнего корпуса; использовать как научный комментарий, транслитерационную сверку или описание метода.</x:v>
      </x:c>
      <x:c r="AC74" s="48" t="str">
        <x:v>https://aclanthology.org/info/copyright/</x:v>
      </x:c>
      <x:c r="AD74" s="18" t="str">
        <x:v>2026-09-03</x:v>
      </x:c>
      <x:c r="AE74" s="18" t="str">
        <x:v>Medium</x:v>
      </x:c>
      <x:c r="AF74" s="24" t="str">
        <x:v>Recent philological-computational decipherment work; should be read together with critical responses.</x:v>
      </x:c>
    </x:row>
    <x:row r="75" ht="108" customHeight="1">
      <x:c r="A75" s="23" t="str">
        <x:v>A07-R074</x:v>
      </x:c>
      <x:c r="B75" s="16" t="str">
        <x:v>A07</x:v>
      </x:c>
      <x:c r="C75" s="16" t="str">
        <x:v>supporting</x:v>
      </x:c>
      <x:c r="D75" s="6" t="str">
        <x:v>Recent Progress in Deciphering Proto-Elamite</x:v>
      </x:c>
      <x:c r="E75" s="6" t="str"/>
      <x:c r="F75" s="6" t="str">
        <x:v>Kathryn E. Kelley and collaborators</x:v>
      </x:c>
      <x:c r="G75" s="6" t="str">
        <x:v>2025</x:v>
      </x:c>
      <x:c r="H75" s="6" t="str">
        <x:v>translation_or_edition</x:v>
      </x:c>
      <x:c r="I75" s="6" t="str">
        <x:v>Научная публикация / современный исследовательский слой</x:v>
      </x:c>
      <x:c r="J75" s="6" t="str">
        <x:v>English</x:v>
      </x:c>
      <x:c r="K75" s="6" t="str"/>
      <x:c r="L75" s="6" t="str"/>
      <x:c r="M75" s="6" t="str">
        <x:v>Uppsala University DiVA</x:v>
      </x:c>
      <x:c r="N75" s="6" t="str">
        <x:v>free_full_read; free_download</x:v>
      </x:c>
      <x:c r="O75" s="6" t="str">
        <x:v>complete_work_or_corpus</x:v>
      </x:c>
      <x:c r="P75" s="6" t="str">
        <x:v>HTML; PDF</x:v>
      </x:c>
      <x:c r="Q75" s="44" t="str">
        <x:v>https://uu.diva-portal.org/smash/record.jsf?pid=diva2:2009260</x:v>
      </x:c>
      <x:c r="R75" s="44" t="str"/>
      <x:c r="S75" s="44" t="str">
        <x:v>10.1086/735179</x:v>
      </x:c>
      <x:c r="T75" s="6" t="str">
        <x:v>verified_live_and_rights_checked</x:v>
      </x:c>
      <x:c r="U75" s="18" t="str">
        <x:v>Современная научная работа защищена авторским правом.</x:v>
      </x:c>
      <x:c r="V75" s="18" t="str">
        <x:v>Современный текст/редакция охраняются согласно указанной лицензии или условиям репозитория.</x:v>
      </x:c>
      <x:c r="W75" s="18" t="str">
        <x:v>Free author/repository copy; no explicit open reuse license located in this pass</x:v>
      </x:c>
      <x:c r="X75" s="18" t="str">
        <x:v>Free author/repository copy; no explicit open reuse license located in this pass</x:v>
      </x:c>
      <x:c r="Y75" s="18" t="str">
        <x:v>Free author/repository copy; no explicit open reuse license located in this pass</x:v>
      </x:c>
      <x:c r="Z75" s="18" t="str">
        <x:v>Текст статьи и официальный файл; права на включённые изображения древних объектов и данные третьих лиц могут отличаться.</x:v>
      </x:c>
      <x:c r="AA75" s="18" t="str">
        <x:v>LINK_OK; FREE_READ; FREE_DOWNLOAD; LOCAL_RESEARCH_COPY; LINK_ONLY; RIGHTS_REVIEW_REQUIRED</x:v>
      </x:c>
      <x:c r="AB75" s="18" t="str">
        <x:v>Не самостоятельная чистая основа для нового перевода древнего корпуса; использовать как научный комментарий, транслитерационную сверку или описание метода.</x:v>
      </x:c>
      <x:c r="AC75" s="48" t="str">
        <x:v>https://uu.diva-portal.org/smash/record.jsf?pid=diva2:2009260</x:v>
      </x:c>
      <x:c r="AD75" s="18" t="str">
        <x:v>2026-09-03</x:v>
      </x:c>
      <x:c r="AE75" s="18" t="str">
        <x:v>Medium</x:v>
      </x:c>
      <x:c r="AF75" s="24" t="str">
        <x:v>Recent state-of-research essay; free access does not establish mirror rights.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76" ht="108" customHeight="1">
      <x:c r="A76" s="23" t="str">
        <x:v>A07-R075</x:v>
      </x:c>
      <x:c r="B76" s="16" t="str">
        <x:v>A07</x:v>
      </x:c>
      <x:c r="C76" s="16" t="str">
        <x:v>supporting</x:v>
      </x:c>
      <x:c r="D76" s="6" t="str">
        <x:v>Proto-Elamite</x:v>
      </x:c>
      <x:c r="E76" s="6" t="str"/>
      <x:c r="F76" s="6" t="str">
        <x:v>Kathryn E. Kelley</x:v>
      </x:c>
      <x:c r="G76" s="6" t="str">
        <x:v>2026</x:v>
      </x:c>
      <x:c r="H76" s="6" t="str">
        <x:v>secondary_navigation</x:v>
      </x:c>
      <x:c r="I76" s="6" t="str">
        <x:v>Современное защищённое научное издание</x:v>
      </x:c>
      <x:c r="J76" s="6" t="str">
        <x:v>English</x:v>
      </x:c>
      <x:c r="K76" s="6" t="str"/>
      <x:c r="L76" s="6" t="str"/>
      <x:c r="M76" s="6" t="str">
        <x:v>Cambridge University Press</x:v>
      </x:c>
      <x:c r="N76" s="6" t="str">
        <x:v>institutional_access; preview_or_snippet; purchase</x:v>
      </x:c>
      <x:c r="O76" s="6" t="str">
        <x:v>commentary_or_reference_only</x:v>
      </x:c>
      <x:c r="P76" s="6" t="str">
        <x:v>HTML preview/metadata; PDF/eBook or print subject to access</x:v>
      </x:c>
      <x:c r="Q76" s="44" t="str">
        <x:v>https://www.cambridge.org/core/elements/protoelamite/663065AC178089077B37580776291365</x:v>
      </x:c>
      <x:c r="R76" s="44" t="str"/>
      <x:c r="S76" s="44" t="str">
        <x:v>10.1017/9781009588400</x:v>
      </x:c>
      <x:c r="T76" s="6" t="str">
        <x:v>verified_live</x:v>
      </x:c>
      <x:c r="U76" s="18" t="str">
        <x:v>Современная работа in copyright.</x:v>
      </x:c>
      <x:c r="V76" s="18" t="str">
        <x:v>Защищённое издание; чтение по подписке, покупке или библиотечному доступу.</x:v>
      </x:c>
      <x:c r="W76" s="18" t="str">
        <x:v>Право повторного распространения не установлено.</x:v>
      </x:c>
      <x:c r="X76" s="18" t="str">
        <x:v>Publisher terms; institutional login or purchase.</x:v>
      </x:c>
      <x:c r="Y76" s="18" t="str">
        <x:v>In Copyright</x:v>
      </x:c>
      <x:c r="Z76" s="18" t="str">
        <x:v>Link/preview/borrow/purchase only unless a separate license is obtained.</x:v>
      </x:c>
      <x:c r="AA76" s="18" t="str">
        <x:v>LINK_OK; PREVIEW_ONLY; PURCHASE; LINK_ONLY; LIBRARY_BORROW</x:v>
      </x:c>
      <x:c r="AB76" s="18" t="str">
        <x:v>Защищённый современный научный текст не является чистой основой для свободного собственного перевода древнего корпуса.</x:v>
      </x:c>
      <x:c r="AC76" s="48" t="str">
        <x:v>https://www.cambridge.org/core/elements/protoelamite/663065AC178089077B37580776291365</x:v>
      </x:c>
      <x:c r="AD76" s="18" t="str">
        <x:v>2026-09-03</x:v>
      </x:c>
      <x:c r="AE76" s="18" t="str">
        <x:v>High</x:v>
      </x:c>
      <x:c r="AF76" s="24" t="str">
        <x:v>Cambridge Element published 23 July 2026; newest book-length synthesis found, but the publisher page requires access/purchase.</x:v>
      </x:c>
    </x:row>
    <x:row r="77" ht="108" customHeight="1">
      <x:c r="A77" s="23" t="str">
        <x:v>A07-R076</x:v>
      </x:c>
      <x:c r="B77" s="16" t="str">
        <x:v>A07</x:v>
      </x:c>
      <x:c r="C77" s="16" t="str">
        <x:v>infrastructure</x:v>
      </x:c>
      <x:c r="D77" s="6" t="str">
        <x:v>Unicode proposal for Proto-Elamite</x:v>
      </x:c>
      <x:c r="E77" s="6" t="str">
        <x:v>L2/23-196: Proposal to encode Proto-Elamite</x:v>
      </x:c>
      <x:c r="F77" s="6" t="str">
        <x:v>Script Encoding Initiative / proposal authors</x:v>
      </x:c>
      <x:c r="G77" s="6" t="str">
        <x:v>2023</x:v>
      </x:c>
      <x:c r="H77" s="6" t="str">
        <x:v>dataset_or_api</x:v>
      </x:c>
      <x:c r="I77" s="6" t="str">
        <x:v>Unicode Technical Committee proposal document</x:v>
      </x:c>
      <x:c r="J77" s="6" t="str">
        <x:v>English; proposed Proto-Elamite character repertoire</x:v>
      </x:c>
      <x:c r="K77" s="6" t="str"/>
      <x:c r="L77" s="6" t="str">
        <x:v>L2/23-196</x:v>
      </x:c>
      <x:c r="M77" s="6" t="str">
        <x:v>Unicode Consortium</x:v>
      </x:c>
      <x:c r="N77" s="6" t="str">
        <x:v>free_full_read; free_download</x:v>
      </x:c>
      <x:c r="O77" s="6" t="str">
        <x:v>complete_work_or_corpus</x:v>
      </x:c>
      <x:c r="P77" s="6" t="str">
        <x:v>PDF</x:v>
      </x:c>
      <x:c r="Q77" s="44" t="str">
        <x:v>https://www.unicode.org/L2/L2023/23196-proto-elamite.pdf</x:v>
      </x:c>
      <x:c r="R77" s="44" t="str">
        <x:v>https://www.unicode.org/L2/L2023/23196-proto-elamite.pdf</x:v>
      </x:c>
      <x:c r="S77" s="44" t="str">
        <x:v>L2/23-196</x:v>
      </x:c>
      <x:c r="T77" s="6" t="str">
        <x:v>verified_official_technical_document</x:v>
      </x:c>
      <x:c r="U77" s="18" t="str">
        <x:v>Modern technical proposal in copyright; ancient signs are not literary works.</x:v>
      </x:c>
      <x:c r="V77" s="18" t="str">
        <x:v>Unicode technical document subject to Unicode terms.</x:v>
      </x:c>
      <x:c r="W77" s="18" t="str">
        <x:v>Official PDF; character repertoire may be quoted/implemented subject to Unicode terms and proposal status.</x:v>
      </x:c>
      <x:c r="X77" s="18" t="str">
        <x:v>Unicode Terms of Use.</x:v>
      </x:c>
      <x:c r="Y77" s="18" t="str">
        <x:v>Unicode technical-document terms; proposal, not proof of final standardization</x:v>
      </x:c>
      <x:c r="Z77" s="18" t="str">
        <x:v>Technical reference and encoding research; not a substitute for corpus or sign-image rights.</x:v>
      </x:c>
      <x:c r="AA77" s="18" t="str">
        <x:v>LINK_OK; FREE_READ; FREE_DOWNLOAD; LOCAL_RESEARCH_COPY; RIGHTS_REVIEW_REQUIRED</x:v>
      </x:c>
      <x:c r="AB77" s="18" t="str">
        <x:v>None; encoding infrastructure.</x:v>
      </x:c>
      <x:c r="AC77" s="48" t="str">
        <x:v>https://www.unicode.org/copyright.html</x:v>
      </x:c>
      <x:c r="AD77" s="18" t="str">
        <x:v>2026-09-03</x:v>
      </x:c>
      <x:c r="AE77" s="18" t="str">
        <x:v>Medium</x:v>
      </x:c>
      <x:c r="AF77" s="24" t="str">
        <x:v>Critical for a future ToS text pipeline, but proposal status must not be confused with final inclusion in Unicode.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78" ht="108" customHeight="1">
      <x:c r="A78" s="23" t="str">
        <x:v>A07-R077</x:v>
      </x:c>
      <x:c r="B78" s="16" t="str">
        <x:v>A07</x:v>
      </x:c>
      <x:c r="C78" s="16" t="str">
        <x:v>antecedent</x:v>
      </x:c>
      <x:c r="D78" s="6" t="str">
        <x:v>Uruk IV proto-cuneiform corpus</x:v>
      </x:c>
      <x:c r="E78" s="6" t="str">
        <x:v>Uruk IV</x:v>
      </x:c>
      <x:c r="F78" s="6" t="str">
        <x:v>Анонимные писцы; CDLI cataloguers</x:v>
      </x:c>
      <x:c r="G78" s="6" t="str">
        <x:v>c. 3350–3200 BCE</x:v>
      </x:c>
      <x:c r="H78" s="6" t="str">
        <x:v>corpus</x:v>
      </x:c>
      <x:c r="I78" s="6" t="str">
        <x:v>CDLI period-filtered corpus: Uruk IV</x:v>
      </x:c>
      <x:c r="J78" s="6" t="str">
        <x:v>proto-cuneiform / Sumerian-associated administrative notation</x:v>
      </x:c>
      <x:c r="K78" s="6" t="str"/>
      <x:c r="L78" s="6" t="str"/>
      <x:c r="M78" s="6" t="str">
        <x:v>CDLI</x:v>
      </x:c>
      <x:c r="N78" s="6" t="str">
        <x:v>free_full_read; free_download</x:v>
      </x:c>
      <x:c r="O78" s="6" t="str">
        <x:v>complete_work_or_corpus</x:v>
      </x:c>
      <x:c r="P78" s="6" t="str">
        <x:v>HTML; C-ATF/JTF; JSON/CSV/TSV/Linked Data; item images where present</x:v>
      </x:c>
      <x:c r="Q78" s="44" t="str">
        <x:v>https://cdli.earth/search?layout=full&amp;period=Uruk+IV</x:v>
      </x:c>
      <x:c r="R78" s="44" t="str"/>
      <x:c r="S78" s="44" t="str">
        <x:v>CDLI period:Uruk IV</x:v>
      </x:c>
      <x:c r="T78" s="6" t="str">
        <x:v>verified_in_research_pass; current CDLI availability intermittent</x:v>
      </x:c>
      <x:c r="U78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78" s="18" t="str">
        <x:v>Современные транслитерации и каталогизация могут иметь отдельные права.</x:v>
      </x:c>
      <x:c r="W78" s="18" t="str">
        <x:v>Item-level mixed rights; image credits vary.</x:v>
      </x:c>
      <x:c r="X78" s="18" t="str">
        <x:v>CDLI Terms of Use and item credits.</x:v>
      </x:c>
      <x:c r="Y78" s="18" t="str">
        <x:v>rights mixed / review required</x:v>
      </x:c>
      <x:c r="Z78" s="18" t="str">
        <x:v>Reading, research copy and item-level export; no blanket mirror recommendation.</x:v>
      </x:c>
      <x:c r="AA78" s="18" t="str">
        <x:v>LINK_OK; FREE_READ; FREE_DOWNLOAD; LOCAL_RESEARCH_COPY; FULLTEXT_INDEX_OK; RIGHTS_REVIEW_REQUIRED</x:v>
      </x:c>
      <x:c r="AB78" s="18" t="str">
        <x:v>Отдельные древние тексты и доступные транслитерации могут служить основой собственного перевода только в пределах конкретных свидетелей и после проверки прав на цифровой слой.</x:v>
      </x:c>
      <x:c r="AC78" s="48" t="str">
        <x:v>https://cdli.earth/terms-of-use</x:v>
      </x:c>
      <x:c r="AD78" s="18" t="str">
        <x:v>2026-09-03</x:v>
      </x:c>
      <x:c r="AE78" s="18" t="str">
        <x:v>Medium</x:v>
      </x:c>
      <x:c r="AF78" s="24" t="str">
        <x:v>Direct predecessor for numerical, metrological and administrative conventions later adapted in proto-Elamite contexts.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79" ht="108" customHeight="1">
      <x:c r="A79" s="23" t="str">
        <x:v>A07-R078</x:v>
      </x:c>
      <x:c r="B79" s="16" t="str">
        <x:v>A07</x:v>
      </x:c>
      <x:c r="C79" s="16" t="str">
        <x:v>antecedent</x:v>
      </x:c>
      <x:c r="D79" s="6" t="str">
        <x:v>Uruk III proto-cuneiform corpus</x:v>
      </x:c>
      <x:c r="E79" s="6" t="str">
        <x:v>Uruk III</x:v>
      </x:c>
      <x:c r="F79" s="6" t="str">
        <x:v>Анонимные писцы; CDLI cataloguers</x:v>
      </x:c>
      <x:c r="G79" s="6" t="str">
        <x:v>c. 3200–3000 BCE</x:v>
      </x:c>
      <x:c r="H79" s="6" t="str">
        <x:v>corpus</x:v>
      </x:c>
      <x:c r="I79" s="6" t="str">
        <x:v>CDLI period-filtered corpus: Uruk III</x:v>
      </x:c>
      <x:c r="J79" s="6" t="str">
        <x:v>proto-cuneiform / Sumerian-associated administrative notation</x:v>
      </x:c>
      <x:c r="K79" s="6" t="str"/>
      <x:c r="L79" s="6" t="str"/>
      <x:c r="M79" s="6" t="str">
        <x:v>CDLI</x:v>
      </x:c>
      <x:c r="N79" s="6" t="str">
        <x:v>free_full_read; free_download</x:v>
      </x:c>
      <x:c r="O79" s="6" t="str">
        <x:v>complete_work_or_corpus</x:v>
      </x:c>
      <x:c r="P79" s="6" t="str">
        <x:v>HTML; C-ATF/JTF; JSON/CSV/TSV/Linked Data; item images where present</x:v>
      </x:c>
      <x:c r="Q79" s="44" t="str">
        <x:v>https://cdli.earth/search?layout=full&amp;period=Uruk+III</x:v>
      </x:c>
      <x:c r="R79" s="44" t="str"/>
      <x:c r="S79" s="44" t="str">
        <x:v>CDLI period:Uruk III</x:v>
      </x:c>
      <x:c r="T79" s="6" t="str">
        <x:v>verified_in_research_pass; current CDLI availability intermittent</x:v>
      </x:c>
      <x:c r="U79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79" s="18" t="str">
        <x:v>Современные транслитерации и каталогизация могут иметь отдельные права.</x:v>
      </x:c>
      <x:c r="W79" s="18" t="str">
        <x:v>Item-level mixed rights; image credits vary.</x:v>
      </x:c>
      <x:c r="X79" s="18" t="str">
        <x:v>CDLI Terms of Use and item credits.</x:v>
      </x:c>
      <x:c r="Y79" s="18" t="str">
        <x:v>rights mixed / review required</x:v>
      </x:c>
      <x:c r="Z79" s="18" t="str">
        <x:v>Reading, research copy and item-level export; no blanket mirror recommendation.</x:v>
      </x:c>
      <x:c r="AA79" s="18" t="str">
        <x:v>LINK_OK; FREE_READ; FREE_DOWNLOAD; LOCAL_RESEARCH_COPY; FULLTEXT_INDEX_OK; RIGHTS_REVIEW_REQUIRED</x:v>
      </x:c>
      <x:c r="AB79" s="18" t="str">
        <x:v>Отдельные древние тексты и доступные транслитерации могут служить основой собственного перевода только в пределах конкретных свидетелей и после проверки прав на цифровой слой.</x:v>
      </x:c>
      <x:c r="AC79" s="48" t="str">
        <x:v>https://cdli.earth/terms-of-use</x:v>
      </x:c>
      <x:c r="AD79" s="18" t="str">
        <x:v>2026-09-03</x:v>
      </x:c>
      <x:c r="AE79" s="18" t="str">
        <x:v>Medium</x:v>
      </x:c>
      <x:c r="AF79" s="24" t="str">
        <x:v>Closest contemporaneous comparator for format, sign structure and numerical systems; relationship is transmission/adaptation, not identity.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80" ht="108" customHeight="1">
      <x:c r="A80" s="23" t="str">
        <x:v>A07-R079</x:v>
      </x:c>
      <x:c r="B80" s="16" t="str">
        <x:v>A07</x:v>
      </x:c>
      <x:c r="C80" s="16" t="str">
        <x:v>antecedent</x:v>
      </x:c>
      <x:c r="D80" s="6" t="str">
        <x:v>Chogha Mish II: The Development of a Prehistoric Regional Center in Lowland Susiana</x:v>
      </x:c>
      <x:c r="E80" s="6" t="str">
        <x:v>OIP 130</x:v>
      </x:c>
      <x:c r="F80" s="6" t="str">
        <x:v>Helene J. Kantor, Pinhas Delougaz et al.</x:v>
      </x:c>
      <x:c r="G80" s="6" t="str">
        <x:v>1996</x:v>
      </x:c>
      <x:c r="H80" s="6" t="str">
        <x:v>translation_or_edition</x:v>
      </x:c>
      <x:c r="I80" s="6" t="str">
        <x:v>Open Oriental Institute/ISAC monograph, complete PDF</x:v>
      </x:c>
      <x:c r="J80" s="6" t="str">
        <x:v>English</x:v>
      </x:c>
      <x:c r="K80" s="6" t="str">
        <x:v>Abbas Alizadeh (editorial completion)</x:v>
      </x:c>
      <x:c r="L80" s="6" t="str">
        <x:v>OIP 130</x:v>
      </x:c>
      <x:c r="M80" s="6" t="str">
        <x:v>Institute for the Study of Ancient Cultures, University of Chicago</x:v>
      </x:c>
      <x:c r="N80" s="6" t="str">
        <x:v>free_full_read; free_download</x:v>
      </x:c>
      <x:c r="O80" s="6" t="str">
        <x:v>complete_work_or_corpus</x:v>
      </x:c>
      <x:c r="P80" s="6" t="str">
        <x:v>PDF</x:v>
      </x:c>
      <x:c r="Q80" s="44" t="str">
        <x:v>https://isac.uchicago.edu/research/publications/oip/oip-130-chogha-mish-ii-development-prehistoric-regional-center-lowland</x:v>
      </x:c>
      <x:c r="R80" s="44" t="str">
        <x:v>https://isac.uchicago.edu/sites/default/files/uploads/shared/docs/oip130.pdf</x:v>
      </x:c>
      <x:c r="S80" s="44" t="str">
        <x:v>OIP 130</x:v>
      </x:c>
      <x:c r="T80" s="6" t="str">
        <x:v>verified_official_repository_and_EPI_policy</x:v>
      </x:c>
      <x:c r="U80" s="18" t="str">
        <x:v>Modern archaeological monograph in copyright.</x:v>
      </x:c>
      <x:c r="V80" s="18" t="str">
        <x:v>ISAC electronic publication offered free-to-all for noncommercial use.</x:v>
      </x:c>
      <x:c r="W80" s="18" t="str">
        <x:v>Official PDF; images/plates may involve additional archaeological/object credits.</x:v>
      </x:c>
      <x:c r="X80" s="18" t="str">
        <x:v>ISAC Electronic Publications Initiative: free-to-all noncommercial access; preserve attribution and file integrity.</x:v>
      </x:c>
      <x:c r="Y80" s="18" t="str">
        <x:v>ISAC EPI noncommercial access; unchanged-use recommendation</x:v>
      </x:c>
      <x:c r="Z80" s="18" t="str">
        <x:v>Official monograph PDF for noncommercial reading/sharing; derivative treatment of images requires review.</x:v>
      </x:c>
      <x:c r="AA80" s="18" t="str">
        <x:v>LINK_OK; FREE_READ; FREE_DOWNLOAD; LOCAL_RESEARCH_COPY; MIRROR_NONCOMMERCIAL; UNCHANGED_ONLY; OCR_OK; FULLTEXT_INDEX_OK; RIGHTS_REVIEW_REQUIRED</x:v>
      </x:c>
      <x:c r="AB80" s="18" t="str">
        <x:v>Pre-literate/sealing antecedent, not a linguistic translation basis.</x:v>
      </x:c>
      <x:c r="AC80" s="48" t="str">
        <x:v>https://isac.uchicago.edu/research/electronic-publications-initiative-institute-study-ancient-cultures</x:v>
      </x:c>
      <x:c r="AD80" s="18" t="str">
        <x:v>2026-09-03</x:v>
      </x:c>
      <x:c r="AE80" s="18" t="str">
        <x:v>Medium</x:v>
      </x:c>
      <x:c r="AF80" s="24" t="str">
        <x:v>Archaeological context for Susiana administration, sealings and token/bulla practices before writing.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81" ht="108" customHeight="1">
      <x:c r="A81" s="23" t="str">
        <x:v>A07-R080</x:v>
      </x:c>
      <x:c r="B81" s="16" t="str">
        <x:v>A07</x:v>
      </x:c>
      <x:c r="C81" s="16" t="str">
        <x:v>antecedent</x:v>
      </x:c>
      <x:c r="D81" s="6" t="str">
        <x:v>Chogha Mish I: The First Five Seasons of Excavations, 1961–1971</x:v>
      </x:c>
      <x:c r="E81" s="6" t="str">
        <x:v>OIP 101</x:v>
      </x:c>
      <x:c r="F81" s="6" t="str">
        <x:v>Pinhas Delougaz and Helene J. Kantor</x:v>
      </x:c>
      <x:c r="G81" s="6" t="str">
        <x:v>1996</x:v>
      </x:c>
      <x:c r="H81" s="6" t="str">
        <x:v>translation_or_edition</x:v>
      </x:c>
      <x:c r="I81" s="6" t="str">
        <x:v>Open archaeological monograph, text and plates</x:v>
      </x:c>
      <x:c r="J81" s="6" t="str">
        <x:v>English</x:v>
      </x:c>
      <x:c r="K81" s="6" t="str"/>
      <x:c r="L81" s="6" t="str">
        <x:v>OIP 101</x:v>
      </x:c>
      <x:c r="M81" s="6" t="str">
        <x:v>ISAC, University of Chicago</x:v>
      </x:c>
      <x:c r="N81" s="6" t="str">
        <x:v>free_full_read; free_download</x:v>
      </x:c>
      <x:c r="O81" s="6" t="str">
        <x:v>complete_work_or_corpus</x:v>
      </x:c>
      <x:c r="P81" s="6" t="str">
        <x:v>PDF text; PDF plates</x:v>
      </x:c>
      <x:c r="Q81" s="44" t="str">
        <x:v>https://isac.uchicago.edu/research/publications/oip/oip-101-chogha-mish-volume-i-first-five-seasons-excavations-1961-1971</x:v>
      </x:c>
      <x:c r="R81" s="44" t="str">
        <x:v>https://isac.uchicago.edu/sites/default/files/uploads/shared/docs/oip101_text.pdf; https://isac.uchicago.edu/sites/default/files/uploads/shared/docs/oip101_plts.pdf</x:v>
      </x:c>
      <x:c r="S81" s="44" t="str">
        <x:v>OIP 101</x:v>
      </x:c>
      <x:c r="T81" s="6" t="str">
        <x:v>verified_official_repository_and_EPI_policy</x:v>
      </x:c>
      <x:c r="U81" s="18" t="str">
        <x:v>Modern archaeological monograph in copyright.</x:v>
      </x:c>
      <x:c r="V81" s="18" t="str">
        <x:v>ISAC EPI noncommercial access.</x:v>
      </x:c>
      <x:c r="W81" s="18" t="str">
        <x:v>Official text/plate PDFs; images may have separate credits.</x:v>
      </x:c>
      <x:c r="X81" s="18" t="str">
        <x:v>ISAC EPI policy.</x:v>
      </x:c>
      <x:c r="Y81" s="18" t="str">
        <x:v>ISAC EPI noncommercial access</x:v>
      </x:c>
      <x:c r="Z81" s="18" t="str">
        <x:v>Noncommercial unchanged sharing of official PDFs; image extraction/derivatives require review.</x:v>
      </x:c>
      <x:c r="AA81" s="18" t="str">
        <x:v>LINK_OK; FREE_READ; FREE_DOWNLOAD; LOCAL_RESEARCH_COPY; MIRROR_NONCOMMERCIAL; UNCHANGED_ONLY; OCR_OK; FULLTEXT_INDEX_OK; RIGHTS_REVIEW_REQUIRED</x:v>
      </x:c>
      <x:c r="AB81" s="18" t="str">
        <x:v>Not a textual translation basis; visual archaeological antecedents only.</x:v>
      </x:c>
      <x:c r="AC81" s="48" t="str">
        <x:v>https://isac.uchicago.edu/research/electronic-publications-initiative-institute-study-ancient-cultures</x:v>
      </x:c>
      <x:c r="AD81" s="18" t="str">
        <x:v>2026-09-03</x:v>
      </x:c>
      <x:c r="AE81" s="18" t="str">
        <x:v>Medium</x:v>
      </x:c>
      <x:c r="AF81" s="24" t="str">
        <x:v>Early administrative technologies and sealings provide concrete antecedent context, not a claim of direct text-to-text derivation.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82" ht="108" customHeight="1">
      <x:c r="A82" s="23" t="str">
        <x:v>A07-R081</x:v>
      </x:c>
      <x:c r="B82" s="16" t="str">
        <x:v>A07</x:v>
      </x:c>
      <x:c r="C82" s="16" t="str">
        <x:v>antecedent</x:v>
      </x:c>
      <x:c r="D82" s="6" t="str">
        <x:v>From Impression to Inscription: Administrative Technology before Writing</x:v>
      </x:c>
      <x:c r="E82" s="6" t="str"/>
      <x:c r="F82" s="6" t="str">
        <x:v>Roger Matthews et al.</x:v>
      </x:c>
      <x:c r="G82" s="6" t="str">
        <x:v>2025</x:v>
      </x:c>
      <x:c r="H82" s="6" t="str">
        <x:v>translation_or_edition</x:v>
      </x:c>
      <x:c r="I82" s="6" t="str">
        <x:v>Научная публикация / современный исследовательский слой</x:v>
      </x:c>
      <x:c r="J82" s="6" t="str">
        <x:v>English</x:v>
      </x:c>
      <x:c r="K82" s="6" t="str"/>
      <x:c r="L82" s="6" t="str"/>
      <x:c r="M82" s="6" t="str">
        <x:v>PubMed Central</x:v>
      </x:c>
      <x:c r="N82" s="6" t="str">
        <x:v>free_full_read; free_download</x:v>
      </x:c>
      <x:c r="O82" s="6" t="str">
        <x:v>complete_work_or_corpus</x:v>
      </x:c>
      <x:c r="P82" s="6" t="str">
        <x:v>HTML; PDF; XML; PMC article package</x:v>
      </x:c>
      <x:c r="Q82" s="44" t="str">
        <x:v>https://pmc.ncbi.nlm.nih.gov/articles/PMC12645803/</x:v>
      </x:c>
      <x:c r="R82" s="44" t="str"/>
      <x:c r="S82" s="44" t="str">
        <x:v>PMC12645803</x:v>
      </x:c>
      <x:c r="T82" s="6" t="str">
        <x:v>verified_live_and_rights_checked</x:v>
      </x:c>
      <x:c r="U82" s="18" t="str">
        <x:v>Современная научная работа защищена авторским правом.</x:v>
      </x:c>
      <x:c r="V82" s="18" t="str">
        <x:v>Современный текст/редакция охраняются согласно указанной лицензии или условиям репозитория.</x:v>
      </x:c>
      <x:c r="W82" s="18" t="str">
        <x:v>CC BY 4.0 for article text and identified open components; third-party figures may have separate credit lines</x:v>
      </x:c>
      <x:c r="X82" s="18" t="str">
        <x:v>CC BY 4.0 for article text and identified open components; third-party figures may have separate credit lines</x:v>
      </x:c>
      <x:c r="Y82" s="18" t="str">
        <x:v>CC BY 4.0 for article text and identified open components; third-party figures may have separate credit lines</x:v>
      </x:c>
      <x:c r="Z82" s="18" t="str">
        <x:v>Текст статьи и официальный файл; права на включённые изображения древних объектов и данные третьих лиц могут отличаться.</x:v>
      </x:c>
      <x:c r="AA82" s="18" t="str">
        <x:v>LINK_OK; FREE_READ; FREE_DOWNLOAD; LOCAL_RESEARCH_COPY; MIRROR_WITH_ATTRIBUTION; OCR_OK; FULLTEXT_INDEX_OK; EMBEDDINGS_OK</x:v>
      </x:c>
      <x:c r="AB82" s="18" t="str">
        <x:v>Не самостоятельная чистая основа для нового перевода древнего корпуса; использовать как научный комментарий, транслитерационную сверку или описание метода.</x:v>
      </x:c>
      <x:c r="AC82" s="48" t="str">
        <x:v>https://pmc.ncbi.nlm.nih.gov/articles/PMC12645803/</x:v>
      </x:c>
      <x:c r="AD82" s="18" t="str">
        <x:v>2026-09-03</x:v>
      </x:c>
      <x:c r="AE82" s="18" t="str">
        <x:v>Medium</x:v>
      </x:c>
      <x:c r="AF82" s="24" t="str">
        <x:v>Open, current synthesis connecting seals, tokens and impressions to early writing. Full PMC formats support corpus indexing.</x:v>
      </x:c>
    </x:row>
    <x:row r="83" ht="108" customHeight="1">
      <x:c r="A83" s="23" t="str">
        <x:v>A07-R082</x:v>
      </x:c>
      <x:c r="B83" s="16" t="str">
        <x:v>A07</x:v>
      </x:c>
      <x:c r="C83" s="16" t="str">
        <x:v>antecedent</x:v>
      </x:c>
      <x:c r="D83" s="6" t="str">
        <x:v>Potter’s Marks from Tepe Yahya</x:v>
      </x:c>
      <x:c r="E83" s="6" t="str"/>
      <x:c r="F83" s="6" t="str">
        <x:v>Archaeological publication authors</x:v>
      </x:c>
      <x:c r="G83" s="6" t="str">
        <x:v>1981</x:v>
      </x:c>
      <x:c r="H83" s="6" t="str">
        <x:v>translation_or_edition</x:v>
      </x:c>
      <x:c r="I83" s="6" t="str">
        <x:v>Научная публикация / современный исследовательский слой</x:v>
      </x:c>
      <x:c r="J83" s="6" t="str">
        <x:v>English</x:v>
      </x:c>
      <x:c r="K83" s="6" t="str"/>
      <x:c r="L83" s="6" t="str"/>
      <x:c r="M83" s="6" t="str">
        <x:v>Persée</x:v>
      </x:c>
      <x:c r="N83" s="6" t="str">
        <x:v>free_full_read; free_download</x:v>
      </x:c>
      <x:c r="O83" s="6" t="str">
        <x:v>complete_work_or_corpus</x:v>
      </x:c>
      <x:c r="P83" s="6" t="str">
        <x:v>HTML; PDF</x:v>
      </x:c>
      <x:c r="Q83" s="44" t="str">
        <x:v>https://www.persee.fr/doc/paleo_0153-9345_1981_num_7_1_4290</x:v>
      </x:c>
      <x:c r="R83" s="44" t="str"/>
      <x:c r="S83" s="44" t="str">
        <x:v>Persée paleo_0153-9345_1981_num_7_1_4290</x:v>
      </x:c>
      <x:c r="T83" s="6" t="str">
        <x:v>verified_live_and_rights_checked</x:v>
      </x:c>
      <x:c r="U83" s="18" t="str">
        <x:v>Современная научная работа защищена авторским правом.</x:v>
      </x:c>
      <x:c r="V83" s="18" t="str">
        <x:v>Современный текст/редакция охраняются согласно указанной лицензии или условиям репозитория.</x:v>
      </x:c>
      <x:c r="W83" s="18" t="str">
        <x:v>Free HTML/PDF; no explicit open reuse license located for this article</x:v>
      </x:c>
      <x:c r="X83" s="18" t="str">
        <x:v>Free HTML/PDF; no explicit open reuse license located for this article</x:v>
      </x:c>
      <x:c r="Y83" s="18" t="str">
        <x:v>Free HTML/PDF; no explicit open reuse license located for this article</x:v>
      </x:c>
      <x:c r="Z83" s="18" t="str">
        <x:v>Текст статьи и официальный файл; права на включённые изображения древних объектов и данные третьих лиц могут отличаться.</x:v>
      </x:c>
      <x:c r="AA83" s="18" t="str">
        <x:v>LINK_OK; FREE_READ; FREE_DOWNLOAD; LOCAL_RESEARCH_COPY; LINK_ONLY; RIGHTS_REVIEW_REQUIRED</x:v>
      </x:c>
      <x:c r="AB83" s="18" t="str">
        <x:v>Не самостоятельная чистая основа для нового перевода древнего корпуса; использовать как научный комментарий, транслитерационную сверку или описание метода.</x:v>
      </x:c>
      <x:c r="AC83" s="48" t="str">
        <x:v>https://www.persee.fr/doc/paleo_0153-9345_1981_num_7_1_4290</x:v>
      </x:c>
      <x:c r="AD83" s="18" t="str">
        <x:v>2026-09-03</x:v>
      </x:c>
      <x:c r="AE83" s="18" t="str">
        <x:v>Medium</x:v>
      </x:c>
      <x:c r="AF83" s="24" t="str">
        <x:v>Regional mark-making comparator at Tepe Yahya; included as a bounded antecedent, not as proof that marks are a deciphered script.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84" ht="108" customHeight="1">
      <x:c r="A84" s="23" t="str">
        <x:v>A07-R083</x:v>
      </x:c>
      <x:c r="B84" s="16" t="str">
        <x:v>A07</x:v>
      </x:c>
      <x:c r="C84" s="16" t="str">
        <x:v>antecedent</x:v>
      </x:c>
      <x:c r="D84" s="6" t="str">
        <x:v>Susa token, bulla and sealing assemblages</x:v>
      </x:c>
      <x:c r="E84" s="6" t="str">
        <x:v>Susiana administrative devices before proto-Elamite writing</x:v>
      </x:c>
      <x:c r="F84" s="6" t="str">
        <x:v>Anonymous administrative communities; excavators and museum cataloguers</x:v>
      </x:c>
      <x:c r="G84" s="6" t="str">
        <x:v>5th–4th millennia BCE</x:v>
      </x:c>
      <x:c r="H84" s="6" t="str">
        <x:v>corpus</x:v>
      </x:c>
      <x:c r="I84" s="6" t="str">
        <x:v>Archaeological corpus dispersed across excavation reports and museum catalogues</x:v>
      </x:c>
      <x:c r="J84" s="6" t="str">
        <x:v>Non-linguistic signs/impressions</x:v>
      </x:c>
      <x:c r="K84" s="6" t="str"/>
      <x:c r="L84" s="6" t="str"/>
      <x:c r="M84" s="6" t="str">
        <x:v>Louvre; National Museum of Iran; excavation publications; ISAC</x:v>
      </x:c>
      <x:c r="N84" s="6" t="str">
        <x:v>free_full_read; metadata_only</x:v>
      </x:c>
      <x:c r="O84" s="6" t="str">
        <x:v>selected_sections</x:v>
      </x:c>
      <x:c r="P84" s="6" t="str">
        <x:v>Museum records; photographs; excavation PDFs; plates</x:v>
      </x:c>
      <x:c r="Q84" s="44" t="str">
        <x:v>https://collections.louvre.fr/en/recherche?nQuery=Susiane+sceau+bulle</x:v>
      </x:c>
      <x:c r="R84" s="44" t="str"/>
      <x:c r="S84" s="44" t="str">
        <x:v>Susiana sealing/token corpus</x:v>
      </x:c>
      <x:c r="T84" s="6" t="str">
        <x:v>partially_verified; dispersed corpus</x:v>
      </x:c>
      <x:c r="U84" s="18" t="str">
        <x:v>Ancient objects outside copyright.</x:v>
      </x:c>
      <x:c r="V84" s="18" t="str">
        <x:v>Modern descriptions and archaeological editions protected/open according to source.</x:v>
      </x:c>
      <x:c r="W84" s="18" t="str">
        <x:v>Museum photographs and report plates have separate rights.</x:v>
      </x:c>
      <x:c r="X84" s="18" t="str">
        <x:v>Louvre Etalab metadata + photo terms; publication-specific terms.</x:v>
      </x:c>
      <x:c r="Y84" s="18" t="str">
        <x:v>mixed</x:v>
      </x:c>
      <x:c r="Z84" s="18" t="str">
        <x:v>Discovery and selected lawful object/report access; no blanket corpus mirror.</x:v>
      </x:c>
      <x:c r="AA84" s="18" t="str">
        <x:v>LINK_OK; FREE_READ; METADATA_ONLY; RIGHTS_REVIEW_REQUIRED</x:v>
      </x:c>
      <x:c r="AB84" s="18" t="str">
        <x:v>Not linguistic text; no translation claim.</x:v>
      </x:c>
      <x:c r="AC84" s="48" t="str">
        <x:v>https://collections.louvre.fr/en/page/cgu</x:v>
      </x:c>
      <x:c r="AD84" s="18" t="str">
        <x:v>2026-09-03</x:v>
      </x:c>
      <x:c r="AE84" s="18" t="str">
        <x:v>Medium</x:v>
      </x:c>
      <x:c r="AF84" s="24" t="str">
        <x:v>Direct administrative-technology antecedent required by the source DR; corpus is dispersed and needs a dedicated object-level pass.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85" ht="108" customHeight="1">
      <x:c r="A85" s="23" t="str">
        <x:v>A07-R084</x:v>
      </x:c>
      <x:c r="B85" s="16" t="str">
        <x:v>A07</x:v>
      </x:c>
      <x:c r="C85" s="16" t="str">
        <x:v>antecedent</x:v>
      </x:c>
      <x:c r="D85" s="6" t="str">
        <x:v>Akkadian royal epigraphy used as Linear Elamite control</x:v>
      </x:c>
      <x:c r="E85" s="6" t="str">
        <x:v>Puzur-Inshushinak Akkadian inscriptional dossier</x:v>
      </x:c>
      <x:c r="F85" s="6" t="str">
        <x:v>Puzur-Inshushinak royal chancery</x:v>
      </x:c>
      <x:c r="G85" s="6" t="str">
        <x:v>c. 2100 BCE</x:v>
      </x:c>
      <x:c r="H85" s="6" t="str">
        <x:v>corpus</x:v>
      </x:c>
      <x:c r="I85" s="6" t="str">
        <x:v>Cross-script control corpus in Louvre/CDLI and modern editions</x:v>
      </x:c>
      <x:c r="J85" s="6" t="str">
        <x:v>Akkadian cuneiform</x:v>
      </x:c>
      <x:c r="K85" s="6" t="str"/>
      <x:c r="L85" s="6" t="str"/>
      <x:c r="M85" s="6" t="str">
        <x:v>Louvre; CDLI; OrientLab</x:v>
      </x:c>
      <x:c r="N85" s="6" t="str">
        <x:v>free_full_read; free_download</x:v>
      </x:c>
      <x:c r="O85" s="6" t="str">
        <x:v>selected_sections</x:v>
      </x:c>
      <x:c r="P85" s="6" t="str">
        <x:v>Museum images/JSON; CDLI transliterations/exports; modern edition PDF</x:v>
      </x:c>
      <x:c r="Q85" s="44" t="str">
        <x:v>https://collections.louvre.fr/en/ark:/53355/cl010174483</x:v>
      </x:c>
      <x:c r="R85" s="44" t="str">
        <x:v>https://collections.louvre.fr/en/ark:/53355/cl010174483.json</x:v>
      </x:c>
      <x:c r="S85" s="44" t="str">
        <x:v>Puzur-Inshushinak Akkadian dossier</x:v>
      </x:c>
      <x:c r="T85" s="6" t="str">
        <x:v>verified_selected_witnesses</x:v>
      </x:c>
      <x:c r="U85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85" s="18" t="str">
        <x:v>Modern transliterations and translations separate.</x:v>
      </x:c>
      <x:c r="W85" s="18" t="str">
        <x:v>Louvre metadata under Etalab; image rights purpose-limited; CDLI components mixed.</x:v>
      </x:c>
      <x:c r="X85" s="18" t="str">
        <x:v>Louvre/CDLI component terms.</x:v>
      </x:c>
      <x:c r="Y85" s="18" t="str">
        <x:v>Etalab for Louvre textual metadata; mixed for images/editions</x:v>
      </x:c>
      <x:c r="Z85" s="18" t="str">
        <x:v>Selected royal inscriptions, not a complete Akkadian corpus.</x:v>
      </x:c>
      <x:c r="AA85" s="18" t="str">
        <x:v>LINK_OK; FREE_READ; FREE_DOWNLOAD; LOCAL_RESEARCH_COPY; OWN_TRANSLATION_POSSIBLE; RIGHTS_REVIEW_REQUIRED</x:v>
      </x:c>
      <x:c r="AB85" s="18" t="str">
        <x:v>Ancient Akkadian inscriptions on specific witnesses with accessible images/transliterations; own translation limited to those texts.</x:v>
      </x:c>
      <x:c r="AC85" s="48" t="str">
        <x:v>https://collections.louvre.fr/en/page/cgu</x:v>
      </x:c>
      <x:c r="AD85" s="18" t="str">
        <x:v>2026-09-03</x:v>
      </x:c>
      <x:c r="AE85" s="18" t="str">
        <x:v>Medium</x:v>
      </x:c>
      <x:c r="AF85" s="24" t="str">
        <x:v>Chronologically near or later than some Linear Elamite texts but functionally an incoming control tradition; classification reflects textual role, not date alone.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86" ht="108" customHeight="1">
      <x:c r="A86" s="23" t="str">
        <x:v>A07-R085</x:v>
      </x:c>
      <x:c r="B86" s="16" t="str">
        <x:v>A07</x:v>
      </x:c>
      <x:c r="C86" s="16" t="str">
        <x:v>continuation</x:v>
      </x:c>
      <x:c r="D86" s="6" t="str">
        <x:v>Old Elamite cuneiform corpus</x:v>
      </x:c>
      <x:c r="E86" s="6" t="str">
        <x:v>Old Elamite</x:v>
      </x:c>
      <x:c r="F86" s="6" t="str">
        <x:v>Анонимные писцы; CDLI cataloguers</x:v>
      </x:c>
      <x:c r="G86" s="6" t="str">
        <x:v>c. 2000–1500 BCE</x:v>
      </x:c>
      <x:c r="H86" s="6" t="str">
        <x:v>corpus</x:v>
      </x:c>
      <x:c r="I86" s="6" t="str">
        <x:v>CDLI period-filtered corpus: Old Elamite</x:v>
      </x:c>
      <x:c r="J86" s="6" t="str">
        <x:v>Elamite cuneiform; Akkadian</x:v>
      </x:c>
      <x:c r="K86" s="6" t="str"/>
      <x:c r="L86" s="6" t="str"/>
      <x:c r="M86" s="6" t="str">
        <x:v>CDLI</x:v>
      </x:c>
      <x:c r="N86" s="6" t="str">
        <x:v>free_full_read; free_download</x:v>
      </x:c>
      <x:c r="O86" s="6" t="str">
        <x:v>complete_work_or_corpus</x:v>
      </x:c>
      <x:c r="P86" s="6" t="str">
        <x:v>HTML; C-ATF/JTF; JSON/CSV/TSV/Linked Data; item images where present</x:v>
      </x:c>
      <x:c r="Q86" s="44" t="str">
        <x:v>https://cdli.earth/search?layout=full&amp;period=Old+Elamite</x:v>
      </x:c>
      <x:c r="R86" s="44" t="str"/>
      <x:c r="S86" s="44" t="str">
        <x:v>CDLI period:Old Elamite</x:v>
      </x:c>
      <x:c r="T86" s="6" t="str">
        <x:v>verified_in_research_pass; current CDLI availability intermittent</x:v>
      </x:c>
      <x:c r="U86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86" s="18" t="str">
        <x:v>Современные транслитерации и каталогизация могут иметь отдельные права.</x:v>
      </x:c>
      <x:c r="W86" s="18" t="str">
        <x:v>Item-level mixed rights; image credits vary.</x:v>
      </x:c>
      <x:c r="X86" s="18" t="str">
        <x:v>CDLI Terms of Use and item credits.</x:v>
      </x:c>
      <x:c r="Y86" s="18" t="str">
        <x:v>rights mixed / review required</x:v>
      </x:c>
      <x:c r="Z86" s="18" t="str">
        <x:v>Reading, research copy and item-level export; no blanket mirror recommendation.</x:v>
      </x:c>
      <x:c r="AA86" s="18" t="str">
        <x:v>LINK_OK; FREE_READ; FREE_DOWNLOAD; LOCAL_RESEARCH_COPY; FULLTEXT_INDEX_OK; RIGHTS_REVIEW_REQUIRED</x:v>
      </x:c>
      <x:c r="AB86" s="18" t="str">
        <x:v>Отдельные древние тексты и доступные транслитерации могут служить основой собственного перевода только в пределах конкретных свидетелей и после проверки прав на цифровой слой.</x:v>
      </x:c>
      <x:c r="AC86" s="48" t="str">
        <x:v>https://cdli.earth/terms-of-use</x:v>
      </x:c>
      <x:c r="AD86" s="18" t="str">
        <x:v>2026-09-03</x:v>
      </x:c>
      <x:c r="AE86" s="18" t="str">
        <x:v>Medium</x:v>
      </x:c>
      <x:c r="AF86" s="24" t="str">
        <x:v>Later written phase of Elam after Linear Elamite; used to trace institutional and linguistic continuity without asserting script descent.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87" ht="108" customHeight="1">
      <x:c r="A87" s="23" t="str">
        <x:v>A07-R086</x:v>
      </x:c>
      <x:c r="B87" s="16" t="str">
        <x:v>A07</x:v>
      </x:c>
      <x:c r="C87" s="16" t="str">
        <x:v>continuation</x:v>
      </x:c>
      <x:c r="D87" s="6" t="str">
        <x:v>Middle Elamite cuneiform corpus</x:v>
      </x:c>
      <x:c r="E87" s="6" t="str">
        <x:v>Middle Elamite</x:v>
      </x:c>
      <x:c r="F87" s="6" t="str">
        <x:v>Анонимные писцы; CDLI cataloguers</x:v>
      </x:c>
      <x:c r="G87" s="6" t="str">
        <x:v>c. 1500–1100 BCE</x:v>
      </x:c>
      <x:c r="H87" s="6" t="str">
        <x:v>corpus</x:v>
      </x:c>
      <x:c r="I87" s="6" t="str">
        <x:v>CDLI period-filtered corpus: Middle Elamite</x:v>
      </x:c>
      <x:c r="J87" s="6" t="str">
        <x:v>Elamite cuneiform</x:v>
      </x:c>
      <x:c r="K87" s="6" t="str"/>
      <x:c r="L87" s="6" t="str"/>
      <x:c r="M87" s="6" t="str">
        <x:v>CDLI</x:v>
      </x:c>
      <x:c r="N87" s="6" t="str">
        <x:v>free_full_read; free_download</x:v>
      </x:c>
      <x:c r="O87" s="6" t="str">
        <x:v>complete_work_or_corpus</x:v>
      </x:c>
      <x:c r="P87" s="6" t="str">
        <x:v>HTML; C-ATF/JTF; JSON/CSV/TSV/Linked Data; item images where present</x:v>
      </x:c>
      <x:c r="Q87" s="44" t="str">
        <x:v>https://cdli.earth/search?layout=full&amp;period=Middle+Elamite</x:v>
      </x:c>
      <x:c r="R87" s="44" t="str"/>
      <x:c r="S87" s="44" t="str">
        <x:v>CDLI period:Middle Elamite</x:v>
      </x:c>
      <x:c r="T87" s="6" t="str">
        <x:v>verified_in_research_pass; current CDLI availability intermittent</x:v>
      </x:c>
      <x:c r="U87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87" s="18" t="str">
        <x:v>Современные транслитерации и каталогизация могут иметь отдельные права.</x:v>
      </x:c>
      <x:c r="W87" s="18" t="str">
        <x:v>Item-level mixed rights; image credits vary.</x:v>
      </x:c>
      <x:c r="X87" s="18" t="str">
        <x:v>CDLI Terms of Use and item credits.</x:v>
      </x:c>
      <x:c r="Y87" s="18" t="str">
        <x:v>rights mixed / review required</x:v>
      </x:c>
      <x:c r="Z87" s="18" t="str">
        <x:v>Reading, research copy and item-level export; no blanket mirror recommendation.</x:v>
      </x:c>
      <x:c r="AA87" s="18" t="str">
        <x:v>LINK_OK; FREE_READ; FREE_DOWNLOAD; LOCAL_RESEARCH_COPY; FULLTEXT_INDEX_OK; RIGHTS_REVIEW_REQUIRED</x:v>
      </x:c>
      <x:c r="AB87" s="18" t="str">
        <x:v>Отдельные древние тексты и доступные транслитерации могут служить основой собственного перевода только в пределах конкретных свидетелей и после проверки прав на цифровой слой.</x:v>
      </x:c>
      <x:c r="AC87" s="48" t="str">
        <x:v>https://cdli.earth/terms-of-use</x:v>
      </x:c>
      <x:c r="AD87" s="18" t="str">
        <x:v>2026-09-03</x:v>
      </x:c>
      <x:c r="AE87" s="18" t="str">
        <x:v>Medium</x:v>
      </x:c>
      <x:c r="AF87" s="24" t="str">
        <x:v>Major later phase of Elamite royal and administrative writing.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88" ht="108" customHeight="1">
      <x:c r="A88" s="23" t="str">
        <x:v>A07-R087</x:v>
      </x:c>
      <x:c r="B88" s="16" t="str">
        <x:v>A07</x:v>
      </x:c>
      <x:c r="C88" s="16" t="str">
        <x:v>continuation</x:v>
      </x:c>
      <x:c r="D88" s="6" t="str">
        <x:v>Neo-Elamite cuneiform corpus</x:v>
      </x:c>
      <x:c r="E88" s="6" t="str">
        <x:v>Neo-Elamite</x:v>
      </x:c>
      <x:c r="F88" s="6" t="str">
        <x:v>Анонимные писцы; CDLI cataloguers</x:v>
      </x:c>
      <x:c r="G88" s="6" t="str">
        <x:v>c. 1000–539 BCE</x:v>
      </x:c>
      <x:c r="H88" s="6" t="str">
        <x:v>corpus</x:v>
      </x:c>
      <x:c r="I88" s="6" t="str">
        <x:v>CDLI period-filtered corpus: Neo-Elamite</x:v>
      </x:c>
      <x:c r="J88" s="6" t="str">
        <x:v>Elamite cuneiform</x:v>
      </x:c>
      <x:c r="K88" s="6" t="str"/>
      <x:c r="L88" s="6" t="str"/>
      <x:c r="M88" s="6" t="str">
        <x:v>CDLI</x:v>
      </x:c>
      <x:c r="N88" s="6" t="str">
        <x:v>free_full_read; free_download</x:v>
      </x:c>
      <x:c r="O88" s="6" t="str">
        <x:v>complete_work_or_corpus</x:v>
      </x:c>
      <x:c r="P88" s="6" t="str">
        <x:v>HTML; C-ATF/JTF; JSON/CSV/TSV/Linked Data; item images where present</x:v>
      </x:c>
      <x:c r="Q88" s="44" t="str">
        <x:v>https://cdli.earth/search?layout=full&amp;period=Neo-Elamite</x:v>
      </x:c>
      <x:c r="R88" s="44" t="str"/>
      <x:c r="S88" s="44" t="str">
        <x:v>CDLI period:Neo-Elamite</x:v>
      </x:c>
      <x:c r="T88" s="6" t="str">
        <x:v>verified_in_research_pass; current CDLI availability intermittent</x:v>
      </x:c>
      <x:c r="U88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88" s="18" t="str">
        <x:v>Современные транслитерации и каталогизация могут иметь отдельные права.</x:v>
      </x:c>
      <x:c r="W88" s="18" t="str">
        <x:v>Item-level mixed rights; image credits vary.</x:v>
      </x:c>
      <x:c r="X88" s="18" t="str">
        <x:v>CDLI Terms of Use and item credits.</x:v>
      </x:c>
      <x:c r="Y88" s="18" t="str">
        <x:v>rights mixed / review required</x:v>
      </x:c>
      <x:c r="Z88" s="18" t="str">
        <x:v>Reading, research copy and item-level export; no blanket mirror recommendation.</x:v>
      </x:c>
      <x:c r="AA88" s="18" t="str">
        <x:v>LINK_OK; FREE_READ; FREE_DOWNLOAD; LOCAL_RESEARCH_COPY; FULLTEXT_INDEX_OK; RIGHTS_REVIEW_REQUIRED</x:v>
      </x:c>
      <x:c r="AB88" s="18" t="str">
        <x:v>Отдельные древние тексты и доступные транслитерации могут служить основой собственного перевода только в пределах конкретных свидетелей и после проверки прав на цифровой слой.</x:v>
      </x:c>
      <x:c r="AC88" s="48" t="str">
        <x:v>https://cdli.earth/terms-of-use</x:v>
      </x:c>
      <x:c r="AD88" s="18" t="str">
        <x:v>2026-09-03</x:v>
      </x:c>
      <x:c r="AE88" s="18" t="str">
        <x:v>Medium</x:v>
      </x:c>
      <x:c r="AF88" s="24" t="str">
        <x:v>Late pre-Achaemenid Elamite textual phase.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89" ht="108" customHeight="1">
      <x:c r="A89" s="23" t="str">
        <x:v>A07-R088</x:v>
      </x:c>
      <x:c r="B89" s="16" t="str">
        <x:v>A07</x:v>
      </x:c>
      <x:c r="C89" s="16" t="str">
        <x:v>transmission_or_preservation</x:v>
      </x:c>
      <x:c r="D89" s="6" t="str">
        <x:v>Achaemenid-period Elamite and multilingual cuneiform corpus</x:v>
      </x:c>
      <x:c r="E89" s="6" t="str">
        <x:v>Achaemenid</x:v>
      </x:c>
      <x:c r="F89" s="6" t="str">
        <x:v>Анонимные писцы; CDLI cataloguers</x:v>
      </x:c>
      <x:c r="G89" s="6" t="str">
        <x:v>c. 550–330 BCE</x:v>
      </x:c>
      <x:c r="H89" s="6" t="str">
        <x:v>corpus</x:v>
      </x:c>
      <x:c r="I89" s="6" t="str">
        <x:v>CDLI period-filtered corpus: Achaemenid</x:v>
      </x:c>
      <x:c r="J89" s="6" t="str">
        <x:v>Elamite; Old Persian; Akkadian</x:v>
      </x:c>
      <x:c r="K89" s="6" t="str"/>
      <x:c r="L89" s="6" t="str"/>
      <x:c r="M89" s="6" t="str">
        <x:v>CDLI</x:v>
      </x:c>
      <x:c r="N89" s="6" t="str">
        <x:v>free_full_read; free_download</x:v>
      </x:c>
      <x:c r="O89" s="6" t="str">
        <x:v>complete_work_or_corpus</x:v>
      </x:c>
      <x:c r="P89" s="6" t="str">
        <x:v>HTML; C-ATF/JTF; JSON/CSV/TSV/Linked Data; item images where present</x:v>
      </x:c>
      <x:c r="Q89" s="44" t="str">
        <x:v>https://cdli.earth/search?layout=full&amp;period=Achaemenid</x:v>
      </x:c>
      <x:c r="R89" s="44" t="str"/>
      <x:c r="S89" s="44" t="str">
        <x:v>CDLI period:Achaemenid</x:v>
      </x:c>
      <x:c r="T89" s="6" t="str">
        <x:v>verified_in_research_pass; current CDLI availability intermittent</x:v>
      </x:c>
      <x:c r="U89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89" s="18" t="str">
        <x:v>Современные транслитерации и каталогизация могут иметь отдельные права.</x:v>
      </x:c>
      <x:c r="W89" s="18" t="str">
        <x:v>Item-level mixed rights; image credits vary.</x:v>
      </x:c>
      <x:c r="X89" s="18" t="str">
        <x:v>CDLI Terms of Use and item credits.</x:v>
      </x:c>
      <x:c r="Y89" s="18" t="str">
        <x:v>rights mixed / review required</x:v>
      </x:c>
      <x:c r="Z89" s="18" t="str">
        <x:v>Reading, research copy and item-level export; no blanket mirror recommendation.</x:v>
      </x:c>
      <x:c r="AA89" s="18" t="str">
        <x:v>LINK_OK; FREE_READ; FREE_DOWNLOAD; LOCAL_RESEARCH_COPY; FULLTEXT_INDEX_OK; RIGHTS_REVIEW_REQUIRED</x:v>
      </x:c>
      <x:c r="AB89" s="18" t="str">
        <x:v>Отдельные древние тексты и доступные транслитерации могут служить основой собственного перевода только в пределах конкретных свидетелей и после проверки прав на цифровой слой.</x:v>
      </x:c>
      <x:c r="AC89" s="48" t="str">
        <x:v>https://cdli.earth/terms-of-use</x:v>
      </x:c>
      <x:c r="AD89" s="18" t="str">
        <x:v>2026-09-03</x:v>
      </x:c>
      <x:c r="AE89" s="18" t="str">
        <x:v>Medium</x:v>
      </x:c>
      <x:c r="AF89" s="24" t="str">
        <x:v>Later institutional multilinguality through which Elamite became a major administrative and royal language; not a continuation of Linear Elamite script.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90" ht="108" customHeight="1">
      <x:c r="A90" s="23" t="str">
        <x:v>A07-R089</x:v>
      </x:c>
      <x:c r="B90" s="16" t="str">
        <x:v>A07</x:v>
      </x:c>
      <x:c r="C90" s="16" t="str">
        <x:v>transmission_or_preservation</x:v>
      </x:c>
      <x:c r="D90" s="6" t="str">
        <x:v>Achaemenid Royal Inscriptions online (ARIo)</x:v>
      </x:c>
      <x:c r="E90" s="6" t="str">
        <x:v>Achaemenid Royal Inscriptions online</x:v>
      </x:c>
      <x:c r="F90" s="6" t="str">
        <x:v>ORACC project editors; Achaemenid royal inscriptions</x:v>
      </x:c>
      <x:c r="G90" s="6" t="str">
        <x:v>6th–4th centuries BCE; modern digital edition</x:v>
      </x:c>
      <x:c r="H90" s="6" t="str">
        <x:v>digital_project_or_catalogue</x:v>
      </x:c>
      <x:c r="I90" s="6" t="str">
        <x:v>ORACC online corpus with lemmatized editions and translations</x:v>
      </x:c>
      <x:c r="J90" s="6" t="str">
        <x:v>Old Persian; Elamite; Akkadian; English</x:v>
      </x:c>
      <x:c r="K90" s="6" t="str"/>
      <x:c r="L90" s="6" t="str"/>
      <x:c r="M90" s="6" t="str">
        <x:v>ORACC / University of Pennsylvania Museum</x:v>
      </x:c>
      <x:c r="N90" s="6" t="str">
        <x:v>free_full_read; free_download</x:v>
      </x:c>
      <x:c r="O90" s="6" t="str">
        <x:v>complete_work_or_corpus</x:v>
      </x:c>
      <x:c r="P90" s="6" t="str">
        <x:v>HTML; Oracc structured text; corpus downloads where offered</x:v>
      </x:c>
      <x:c r="Q90" s="44" t="str">
        <x:v>https://oracc.museum.upenn.edu/ario/</x:v>
      </x:c>
      <x:c r="R90" s="44" t="str"/>
      <x:c r="S90" s="44" t="str">
        <x:v>ORACC ARIo</x:v>
      </x:c>
      <x:c r="T90" s="6" t="str">
        <x:v>verified_in_research_pass; blanket reuse license not confirmed</x:v>
      </x:c>
      <x:c r="U90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90" s="18" t="str">
        <x:v>Modern transliterations, lemmatization and translations may be protected/open under ORACC project terms.</x:v>
      </x:c>
      <x:c r="W90" s="18" t="str">
        <x:v>Corpus data downloadable, but project- and component-level rights should be checked before mirroring.</x:v>
      </x:c>
      <x:c r="X90" s="18" t="str">
        <x:v>ORACC terms/citation requirements.</x:v>
      </x:c>
      <x:c r="Y90" s="18" t="str">
        <x:v>rights review required</x:v>
      </x:c>
      <x:c r="Z90" s="18" t="str">
        <x:v>Free reading, research download and linking; later Elamite transmission layer only.</x:v>
      </x:c>
      <x:c r="AA90" s="18" t="str">
        <x:v>LINK_OK; FREE_READ; FREE_DOWNLOAD; LOCAL_RESEARCH_COPY; FULLTEXT_INDEX_OK; RIGHTS_REVIEW_REQUIRED</x:v>
      </x:c>
      <x:c r="AB90" s="18" t="str">
        <x:v>Ancient Elamite/Old Persian/Akkadian inscriptions with digital transliterations; any own translation is limited to specific text editions and must avoid copying protected modern translations.</x:v>
      </x:c>
      <x:c r="AC90" s="48" t="str">
        <x:v>https://oracc.museum.upenn.edu/doc/about/licensing/index.html</x:v>
      </x:c>
      <x:c r="AD90" s="18" t="str">
        <x:v>2026-09-03</x:v>
      </x:c>
      <x:c r="AE90" s="18" t="str">
        <x:v>Medium</x:v>
      </x:c>
      <x:c r="AF90" s="24" t="str">
        <x:v>Concrete later corpus: Elamite survives in Achaemenid multilingual administration, but this does not prove genetic continuity with proto-Elamite.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91" ht="108" customHeight="1">
      <x:c r="A91" s="23" t="str">
        <x:v>A07-R090</x:v>
      </x:c>
      <x:c r="B91" s="16" t="str">
        <x:v>A07</x:v>
      </x:c>
      <x:c r="C91" s="16" t="str">
        <x:v>transmission_or_preservation</x:v>
      </x:c>
      <x:c r="D91" s="6" t="str">
        <x:v>Cyrus Cylinder multilingual/royal epigraphic context</x:v>
      </x:c>
      <x:c r="E91" s="6" t="str">
        <x:v>ARIo Q007151</x:v>
      </x:c>
      <x:c r="F91" s="6" t="str">
        <x:v>Cyrus II royal chancery</x:v>
      </x:c>
      <x:c r="G91" s="6" t="str">
        <x:v>539 BCE</x:v>
      </x:c>
      <x:c r="H91" s="6" t="str">
        <x:v>work</x:v>
      </x:c>
      <x:c r="I91" s="6" t="str">
        <x:v>ORACC/ARIo text edition</x:v>
      </x:c>
      <x:c r="J91" s="6" t="str">
        <x:v>Akkadian; linked Achaemenid royal tradition</x:v>
      </x:c>
      <x:c r="K91" s="6" t="str"/>
      <x:c r="L91" s="6" t="str">
        <x:v>Q007151</x:v>
      </x:c>
      <x:c r="M91" s="6" t="str">
        <x:v>ORACC / ARIo</x:v>
      </x:c>
      <x:c r="N91" s="6" t="str">
        <x:v>free_full_read</x:v>
      </x:c>
      <x:c r="O91" s="6" t="str">
        <x:v>complete_work_or_corpus</x:v>
      </x:c>
      <x:c r="P91" s="6" t="str">
        <x:v>HTML; transliteration; translation; structured text</x:v>
      </x:c>
      <x:c r="Q91" s="44" t="str">
        <x:v>https://oracc.museum.upenn.edu/ario/Q007151</x:v>
      </x:c>
      <x:c r="R91" s="44" t="str"/>
      <x:c r="S91" s="44" t="str">
        <x:v>ORACC Q007151</x:v>
      </x:c>
      <x:c r="T91" s="6" t="str">
        <x:v>verified_in_research_pass</x:v>
      </x:c>
      <x:c r="U91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91" s="18" t="str">
        <x:v>Modern edition/translation separate.</x:v>
      </x:c>
      <x:c r="W91" s="18" t="str">
        <x:v>ORACC page and structured text; license to be checked project-level.</x:v>
      </x:c>
      <x:c r="X91" s="18" t="str">
        <x:v>ORACC project terms.</x:v>
      </x:c>
      <x:c r="Y91" s="18" t="str">
        <x:v>rights review required</x:v>
      </x:c>
      <x:c r="Z91" s="18" t="str">
        <x:v>A bounded illustrative transmission object, not a core Elamite text.</x:v>
      </x:c>
      <x:c r="AA91" s="18" t="str">
        <x:v>LINK_OK; FREE_READ; LINK_ONLY; RIGHTS_REVIEW_REQUIRED</x:v>
      </x:c>
      <x:c r="AB91" s="18" t="str">
        <x:v>Ancient text and visible transliteration can support independent translation if edition rights are respected.</x:v>
      </x:c>
      <x:c r="AC91" s="48" t="str">
        <x:v>https://oracc.museum.upenn.edu/doc/about/licensing/index.html</x:v>
      </x:c>
      <x:c r="AD91" s="18" t="str">
        <x:v>2026-09-03</x:v>
      </x:c>
      <x:c r="AE91" s="18" t="str">
        <x:v>Medium</x:v>
      </x:c>
      <x:c r="AF91" s="24" t="str">
        <x:v>Boundary example of later Achaemenid royal epigraphy; included sparingly to show institutional transmission, not thematic expansion.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92" ht="108" customHeight="1">
      <x:c r="A92" s="23" t="str">
        <x:v>A07-R091</x:v>
      </x:c>
      <x:c r="B92" s="16" t="str">
        <x:v>A07</x:v>
      </x:c>
      <x:c r="C92" s="16" t="str">
        <x:v>continuation</x:v>
      </x:c>
      <x:c r="D92" s="6" t="str">
        <x:v>Persepolis Fortification Archive</x:v>
      </x:c>
      <x:c r="E92" s="6" t="str">
        <x:v>PFA / OI-IDB</x:v>
      </x:c>
      <x:c r="F92" s="6" t="str">
        <x:v>Achaemenid administrative scribes; Oriental Institute/ISAC editors</x:v>
      </x:c>
      <x:c r="G92" s="6" t="str">
        <x:v>509–493 BCE; modern digital archive</x:v>
      </x:c>
      <x:c r="H92" s="6" t="str">
        <x:v>corpus</x:v>
      </x:c>
      <x:c r="I92" s="6" t="str">
        <x:v>Online image/database archive of tablets, sealings and texts</x:v>
      </x:c>
      <x:c r="J92" s="6" t="str">
        <x:v>Elamite; Aramaic; Greek; Old Persian; nonverbal seal impressions</x:v>
      </x:c>
      <x:c r="K92" s="6" t="str"/>
      <x:c r="L92" s="6" t="str"/>
      <x:c r="M92" s="6" t="str">
        <x:v>Institute for the Study of Ancient Cultures, University of Chicago</x:v>
      </x:c>
      <x:c r="N92" s="6" t="str">
        <x:v>free_full_read; free_download</x:v>
      </x:c>
      <x:c r="O92" s="6" t="str">
        <x:v>substantial_part</x:v>
      </x:c>
      <x:c r="P92" s="6" t="str">
        <x:v>Database records; photographs; drawings; transliterations; metadata</x:v>
      </x:c>
      <x:c r="Q92" s="44" t="str">
        <x:v>https://oi-idb.uchicago.edu/</x:v>
      </x:c>
      <x:c r="R92" s="44" t="str"/>
      <x:c r="S92" s="44" t="str">
        <x:v>Persepolis Fortification Archive Project</x:v>
      </x:c>
      <x:c r="T92" s="6" t="str">
        <x:v>verified_official_project; component rights mixed</x:v>
      </x:c>
      <x:c r="U92" s="18" t="str">
        <x:v>Древний текст/надпись находится вне срока авторского права; научная реконструкция, чтение и современный перевод могут охраняться отдельно.</x:v>
      </x:c>
      <x:c r="V92" s="18" t="str">
        <x:v>Modern editions/translations/databasing protected unless licensed.</x:v>
      </x:c>
      <x:c r="W92" s="18" t="str">
        <x:v>Photographs, drawings and catalogue components have distinct credits and restrictions.</x:v>
      </x:c>
      <x:c r="X92" s="18" t="str">
        <x:v>ISAC/PFA terms and item citations.</x:v>
      </x:c>
      <x:c r="Y92" s="18" t="str">
        <x:v>mixed / review required</x:v>
      </x:c>
      <x:c r="Z92" s="18" t="str">
        <x:v>Free research consultation and selected downloads; no blanket corpus/image mirror.</x:v>
      </x:c>
      <x:c r="AA92" s="18" t="str">
        <x:v>LINK_OK; FREE_READ; FREE_DOWNLOAD; LOCAL_RESEARCH_COPY; FULLTEXT_INDEX_OK; RIGHTS_REVIEW_REQUIRED</x:v>
      </x:c>
      <x:c r="AB92" s="18" t="str">
        <x:v>Specific ancient Elamite tablets with accessible transliterations/images may support scoped independent translations; modern edition rights remain separate.</x:v>
      </x:c>
      <x:c r="AC92" s="48" t="str">
        <x:v>https://oi-idb.uchicago.edu/</x:v>
      </x:c>
      <x:c r="AD92" s="18" t="str">
        <x:v>2026-09-03</x:v>
      </x:c>
      <x:c r="AE92" s="18" t="str">
        <x:v>Medium</x:v>
      </x:c>
      <x:c r="AF92" s="24" t="str">
        <x:v>The largest later administrative Elamite afterlife in ToS scope; directly relevant to institutional continuity, not to script identity.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93" ht="108" customHeight="1">
      <x:c r="A93" s="23" t="str">
        <x:v>A07-R092</x:v>
      </x:c>
      <x:c r="B93" s="16" t="str">
        <x:v>A07</x:v>
      </x:c>
      <x:c r="C93" s="16" t="str">
        <x:v>continuation</x:v>
      </x:c>
      <x:c r="D93" s="6" t="str">
        <x:v>Persepolis Fortification Tablets</x:v>
      </x:c>
      <x:c r="E93" s="6" t="str">
        <x:v>OIP 92</x:v>
      </x:c>
      <x:c r="F93" s="6" t="str">
        <x:v>Richard T. Hallock</x:v>
      </x:c>
      <x:c r="G93" s="6" t="str">
        <x:v>1969</x:v>
      </x:c>
      <x:c r="H93" s="6" t="str">
        <x:v>translation_or_edition</x:v>
      </x:c>
      <x:c r="I93" s="6" t="str">
        <x:v>Classic edition, official ISAC PDF</x:v>
      </x:c>
      <x:c r="J93" s="6" t="str">
        <x:v>English; Elamite cuneiform</x:v>
      </x:c>
      <x:c r="K93" s="6" t="str">
        <x:v>Richard T. Hallock</x:v>
      </x:c>
      <x:c r="L93" s="6" t="str">
        <x:v>OIP 92</x:v>
      </x:c>
      <x:c r="M93" s="6" t="str">
        <x:v>ISAC, University of Chicago</x:v>
      </x:c>
      <x:c r="N93" s="6" t="str">
        <x:v>free_full_read; free_download</x:v>
      </x:c>
      <x:c r="O93" s="6" t="str">
        <x:v>complete_work_or_corpus</x:v>
      </x:c>
      <x:c r="P93" s="6" t="str">
        <x:v>PDF</x:v>
      </x:c>
      <x:c r="Q93" s="44" t="str">
        <x:v>https://isac.uchicago.edu/research/publications/oip/oip-92-persepolis-fortification-tablets</x:v>
      </x:c>
      <x:c r="R93" s="44" t="str">
        <x:v>https://isac.uchicago.edu/sites/default/files/uploads/shared/docs/oip92.pdf</x:v>
      </x:c>
      <x:c r="S93" s="44" t="str">
        <x:v>OIP 92</x:v>
      </x:c>
      <x:c r="T93" s="6" t="str">
        <x:v>verified_official_repository_and_EPI_policy</x:v>
      </x:c>
      <x:c r="U93" s="18" t="str">
        <x:v>1969 scholarly edition in copyright.</x:v>
      </x:c>
      <x:c r="V93" s="18" t="str">
        <x:v>ISAC EPI noncommercial access.</x:v>
      </x:c>
      <x:c r="W93" s="18" t="str">
        <x:v>Official PDF; page images/line drawings may have separate restrictions.</x:v>
      </x:c>
      <x:c r="X93" s="18" t="str">
        <x:v>ISAC EPI.</x:v>
      </x:c>
      <x:c r="Y93" s="18" t="str">
        <x:v>Free-to-all noncommercial access; unchanged-use recommendation</x:v>
      </x:c>
      <x:c r="Z93" s="18" t="str">
        <x:v>Official monograph PDF for noncommercial read/share; derivative reuse requires review.</x:v>
      </x:c>
      <x:c r="AA93" s="18" t="str">
        <x:v>LINK_OK; FREE_READ; FREE_DOWNLOAD; LOCAL_RESEARCH_COPY; MIRROR_NONCOMMERCIAL; UNCHANGED_ONLY; OCR_OK; FULLTEXT_INDEX_OK; RIGHTS_REVIEW_REQUIRED</x:v>
      </x:c>
      <x:c r="AB93" s="18" t="str">
        <x:v>Protected modern edition is not a clean open basis; use individual ancient witnesses where lawfully available.</x:v>
      </x:c>
      <x:c r="AC93" s="48" t="str">
        <x:v>https://isac.uchicago.edu/research/electronic-publications-initiative-institute-study-ancient-cultures</x:v>
      </x:c>
      <x:c r="AD93" s="18" t="str">
        <x:v>2026-09-03</x:v>
      </x:c>
      <x:c r="AE93" s="18" t="str">
        <x:v>Medium</x:v>
      </x:c>
      <x:c r="AF93" s="24" t="str">
        <x:v>Best freely downloadable classic edition of the later Elamite administrative corpus. Положительные tos_use-теги действуют только в пределах указанных coverage и rights_scope; RIGHTS_REVIEW_REQUIRED блокирует автоматическое расширение на иные компоненты, изображения, версии или публичное повторное распространение.</x:v>
      </x:c>
    </x:row>
    <x:row r="94" ht="108" customHeight="1">
      <x:c r="A94" s="25" t="str">
        <x:v>A07-R093</x:v>
      </x:c>
      <x:c r="B94" s="26" t="str">
        <x:v>A07</x:v>
      </x:c>
      <x:c r="C94" s="26" t="str">
        <x:v>infrastructure</x:v>
      </x:c>
      <x:c r="D94" s="27" t="str">
        <x:v>Old Persian Grammar, Texts, Lexicon</x:v>
      </x:c>
      <x:c r="E94" s="27" t="str">
        <x:v>OIP 65</x:v>
      </x:c>
      <x:c r="F94" s="27" t="str">
        <x:v>Roland G. Kent</x:v>
      </x:c>
      <x:c r="G94" s="27" t="str">
        <x:v>1953</x:v>
      </x:c>
      <x:c r="H94" s="27" t="str">
        <x:v>translation_or_edition</x:v>
      </x:c>
      <x:c r="I94" s="27" t="str">
        <x:v>Reference grammar and corpus, official ISAC PDF</x:v>
      </x:c>
      <x:c r="J94" s="27" t="str">
        <x:v>English; Old Persian</x:v>
      </x:c>
      <x:c r="K94" s="27" t="str">
        <x:v>Roland G. Kent</x:v>
      </x:c>
      <x:c r="L94" s="27" t="str">
        <x:v>OIP 65</x:v>
      </x:c>
      <x:c r="M94" s="27" t="str">
        <x:v>ISAC, University of Chicago</x:v>
      </x:c>
      <x:c r="N94" s="27" t="str">
        <x:v>free_full_read; free_download</x:v>
      </x:c>
      <x:c r="O94" s="27" t="str">
        <x:v>complete_work_or_corpus</x:v>
      </x:c>
      <x:c r="P94" s="27" t="str">
        <x:v>PDF</x:v>
      </x:c>
      <x:c r="Q94" s="45" t="str">
        <x:v>https://isac.uchicago.edu/research/publications/oip/oip-65-old-persian-grammar-texts-lexicon</x:v>
      </x:c>
      <x:c r="R94" s="45" t="str">
        <x:v>https://isac.uchicago.edu/sites/default/files/uploads/shared/docs/oip65.pdf</x:v>
      </x:c>
      <x:c r="S94" s="45" t="str">
        <x:v>OIP 65</x:v>
      </x:c>
      <x:c r="T94" s="27" t="str">
        <x:v>verified_official_repository_and_EPI_policy</x:v>
      </x:c>
      <x:c r="U94" s="28" t="str">
        <x:v>1953 scholarly work; jurisdictional copyright varies.</x:v>
      </x:c>
      <x:c r="V94" s="28" t="str">
        <x:v>ISAC EPI noncommercial access.</x:v>
      </x:c>
      <x:c r="W94" s="28" t="str">
        <x:v>Official PDF.</x:v>
      </x:c>
      <x:c r="X94" s="28" t="str">
        <x:v>ISAC EPI.</x:v>
      </x:c>
      <x:c r="Y94" s="28" t="str">
        <x:v>Free-to-all noncommercial access</x:v>
      </x:c>
      <x:c r="Z94" s="28" t="str">
        <x:v>Supporting comparator for Achaemenid multilinguality; not an Elamite corpus.</x:v>
      </x:c>
      <x:c r="AA94" s="28" t="str">
        <x:v>LINK_OK; FREE_READ; FREE_DOWNLOAD; LOCAL_RESEARCH_COPY; MIRROR_NONCOMMERCIAL; UNCHANGED_ONLY; OCR_OK; FULLTEXT_INDEX_OK</x:v>
      </x:c>
      <x:c r="AB94" s="28" t="str">
        <x:v>Not a basis for translating proto-/Linear Elamite.</x:v>
      </x:c>
      <x:c r="AC94" s="49" t="str">
        <x:v>https://isac.uchicago.edu/research/electronic-publications-initiative-institute-study-ancient-cultures</x:v>
      </x:c>
      <x:c r="AD94" s="28" t="str">
        <x:v>2026-09-03</x:v>
      </x:c>
      <x:c r="AE94" s="28" t="str">
        <x:v>Medium</x:v>
      </x:c>
      <x:c r="AF94" s="29" t="str">
        <x:v>Included narrowly as infrastructure for the later trilingual system.</x:v>
      </x:c>
    </x:row>
  </x:sheetData>
  <x:conditionalFormatting sqref="AE2:AE94">
    <x:cfRule type="expression" dxfId="0" priority="1">
      <x:formula>AE2="High"</x:formula>
    </x:cfRule>
    <x:cfRule type="expression" dxfId="1" priority="2">
      <x:formula>AE2="Medium"</x:formula>
    </x:cfRule>
    <x:cfRule type="expression" dxfId="2" priority="3">
      <x:formula>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3e73e0c9a7c40b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40" hidden="0" customWidth="1"/>
    <x:col min="4" max="4" width="24" hidden="0" customWidth="1"/>
    <x:col min="5" max="5" width="42" hidden="0" customWidth="1"/>
    <x:col min="6" max="6" width="46" hidden="0" customWidth="1"/>
    <x:col min="7" max="7" width="54" hidden="0" customWidth="1"/>
    <x:col min="8" max="8" width="14" hidden="0" customWidth="1"/>
  </x:cols>
  <x:sheetData>
    <x:row r="1" ht="44" customHeight="1">
      <x:c r="A1" s="20" t="str">
        <x:v>gap_id</x:v>
      </x:c>
      <x:c r="B1" s="21" t="str">
        <x:v>tos_row_id</x:v>
      </x:c>
      <x:c r="C1" s="21" t="str">
        <x:v>candidate_or_missing_object</x:v>
      </x:c>
      <x:c r="D1" s="21" t="str">
        <x:v>relevance</x:v>
      </x:c>
      <x:c r="E1" s="21" t="str">
        <x:v>why_it_matters</x:v>
      </x:c>
      <x:c r="F1" s="21" t="str">
        <x:v>current_access_or_problem</x:v>
      </x:c>
      <x:c r="G1" s="21" t="str">
        <x:v>targeted_follow_up</x:v>
      </x:c>
      <x:c r="H1" s="22" t="str">
        <x:v>checked_at</x:v>
      </x:c>
    </x:row>
    <x:row r="2" ht="96" customHeight="1">
      <x:c r="A2" s="40" t="str">
        <x:v>A07-G01</x:v>
      </x:c>
      <x:c r="B2" s="18" t="str">
        <x:v>A07</x:v>
      </x:c>
      <x:c r="C2" s="18" t="str">
        <x:v>MDP 17, complete legal digital scan</x:v>
      </x:c>
      <x:c r="D2" s="18" t="str">
        <x:v>core</x:v>
      </x:c>
      <x:c r="E2" s="18" t="str">
        <x:v>One of the foundational proto-Elamite publication volumes; many tablet designations still cite it.</x:v>
      </x:c>
      <x:c r="F2" s="18" t="str">
        <x:v>Library records and item-level CDLI tablets found, but no complete clearly lawful open scan verified.</x:v>
      </x:c>
      <x:c r="G2" s="18" t="str">
        <x:v>Search Gallica, BnF, Persée serial holdings, HathiTrust volume list, WorldCat partner libraries and rights-cleared digitization requests.</x:v>
      </x:c>
      <x:c r="H2" s="24" t="str">
        <x:v>2026-09-03</x:v>
      </x:c>
    </x:row>
    <x:row r="3" ht="96" customHeight="1">
      <x:c r="A3" s="40" t="str">
        <x:v>A07-G02</x:v>
      </x:c>
      <x:c r="B3" s="18" t="str">
        <x:v>A07</x:v>
      </x:c>
      <x:c r="C3" s="18" t="str">
        <x:v>MDP 26, complete legal digital scan</x:v>
      </x:c>
      <x:c r="D3" s="18" t="str">
        <x:v>core</x:v>
      </x:c>
      <x:c r="E3" s="18" t="str">
        <x:v>Major proto-Elamite accounting-text volume.</x:v>
      </x:c>
      <x:c r="F3" s="18" t="str">
        <x:v>National-library metadata and CDLI item records found; full legal scan not verified.</x:v>
      </x:c>
      <x:c r="G3" s="18" t="str">
        <x:v>Search BnF/Gallica, HathiTrust, Internet Archive institutional collections and Iranian/French archaeological archives by exact serial volume.</x:v>
      </x:c>
      <x:c r="H3" s="24" t="str">
        <x:v>2026-09-03</x:v>
      </x:c>
    </x:row>
    <x:row r="4" ht="96" customHeight="1">
      <x:c r="A4" s="40" t="str">
        <x:v>A07-G03</x:v>
      </x:c>
      <x:c r="B4" s="18" t="str">
        <x:v>A07</x:v>
      </x:c>
      <x:c r="C4" s="18" t="str">
        <x:v>MDP 31, complete legal digital scan</x:v>
      </x:c>
      <x:c r="D4" s="18" t="str">
        <x:v>core</x:v>
      </x:c>
      <x:c r="E4" s="18" t="str">
        <x:v>Contains a substantial body of Susa proto-Elamite texts and is repeatedly cited by current editions.</x:v>
      </x:c>
      <x:c r="F4" s="18" t="str">
        <x:v>Only item-level CDLI witnesses and bibliographic references were confirmed.</x:v>
      </x:c>
      <x:c r="G4" s="18" t="str">
        <x:v>Target BnF/Gallica, Persée, HathiTrust and university special collections; search both MDP and Mémoires de la Mission archéologique en Iran series titles.</x:v>
      </x:c>
      <x:c r="H4" s="24" t="str">
        <x:v>2026-09-03</x:v>
      </x:c>
    </x:row>
    <x:row r="5" ht="96" customHeight="1">
      <x:c r="A5" s="40" t="str">
        <x:v>A07-G04</x:v>
      </x:c>
      <x:c r="B5" s="18" t="str">
        <x:v>A07</x:v>
      </x:c>
      <x:c r="C5" s="18" t="str">
        <x:v>TCL 32, complete legal digital scan</x:v>
      </x:c>
      <x:c r="D5" s="18" t="str">
        <x:v>core</x:v>
      </x:c>
      <x:c r="E5" s="18" t="str">
        <x:v>Classic Louvre tablet catalogue used for many current CDLI designations.</x:v>
      </x:c>
      <x:c r="F5" s="18" t="str">
        <x:v>CDLI publication-filtered records found; complete volume scan not verified.</x:v>
      </x:c>
      <x:c r="G5" s="18" t="str">
        <x:v>Search BnF/Gallica, Louvre publications archive, HathiTrust and French university libraries by title, editor and TCL series number.</x:v>
      </x:c>
      <x:c r="H5" s="24" t="str">
        <x:v>2026-09-03</x:v>
      </x:c>
    </x:row>
    <x:row r="6" ht="96" customHeight="1">
      <x:c r="A6" s="40" t="str">
        <x:v>A07-G05</x:v>
      </x:c>
      <x:c r="B6" s="18" t="str">
        <x:v>A07</x:v>
      </x:c>
      <x:c r="C6" s="18" t="str">
        <x:v>Complete openly licensed Hatamti/OCLEI dataset or API</x:v>
      </x:c>
      <x:c r="D6" s="18" t="str">
        <x:v>infrastructure</x:v>
      </x:c>
      <x:c r="E6" s="18" t="str">
        <x:v>Would be the best current machine-readable Linear Elamite layer for ToS.</x:v>
      </x:c>
      <x:c r="F6" s="18" t="str">
        <x:v>Interactive database is freely readable, but no open corpus/data license or bulk export was located.</x:v>
      </x:c>
      <x:c r="G6" s="18" t="str">
        <x:v>Contact project team for API/export, corpus versioning, component-level licenses and permission for noncommercial indexing/embeddings.</x:v>
      </x:c>
      <x:c r="H6" s="24" t="str">
        <x:v>2026-09-03</x:v>
      </x:c>
    </x:row>
    <x:row r="7" ht="96" customHeight="1">
      <x:c r="A7" s="40" t="str">
        <x:v>A07-G06</x:v>
      </x:c>
      <x:c r="B7" s="18" t="str">
        <x:v>A07</x:v>
      </x:c>
      <x:c r="C7" s="18" t="str">
        <x:v>Official National Museum of Iran item-level catalogue for proto-Elamite tablets</x:v>
      </x:c>
      <x:c r="D7" s="18" t="str">
        <x:v>infrastructure</x:v>
      </x:c>
      <x:c r="E7" s="18" t="str">
        <x:v>Would provide authoritative custody, object history, images and rights for the large Tehran-held subset.</x:v>
      </x:c>
      <x:c r="F7" s="18" t="str">
        <x:v>CDLI collection filter exists, but an official museum item-level digital catalogue was not confirmed.</x:v>
      </x:c>
      <x:c r="G7" s="18" t="str">
        <x:v>Search Persian-language museum pages, Iran National Museum publications, Iranian museum data portals and institutional contact channels.</x:v>
      </x:c>
      <x:c r="H7" s="24" t="str">
        <x:v>2026-09-03</x:v>
      </x:c>
    </x:row>
    <x:row r="8" ht="96" customHeight="1">
      <x:c r="A8" s="40" t="str">
        <x:v>A07-G07</x:v>
      </x:c>
      <x:c r="B8" s="18" t="str">
        <x:v>A07</x:v>
      </x:c>
      <x:c r="C8" s="18" t="str">
        <x:v>Complete item-level, provenance-checked register of Linear Elamite silver vessels</x:v>
      </x:c>
      <x:c r="D8" s="18" t="str">
        <x:v>core</x:v>
      </x:c>
      <x:c r="E8" s="18" t="str">
        <x:v>The vessel corpus substantially expanded Linear Elamite decipherment, yet provenance/authenticity and image rights vary.</x:v>
      </x:c>
      <x:c r="F8" s="18" t="str">
        <x:v>Hatamti/GEAS/CDLI and journal records are dispersed; not every vessel received a stable official item page in this pass.</x:v>
      </x:c>
      <x:c r="G8" s="18" t="str">
        <x:v>Crosswalk LEI labels, CDLI P-numbers, museum/private-collection records, Desset 2018/2026 and authenticity flags; preserve uncertainty explicitly.</x:v>
      </x:c>
      <x:c r="H8" s="24" t="str">
        <x:v>2026-09-03</x:v>
      </x:c>
    </x:row>
    <x:row r="9" ht="96" customHeight="1">
      <x:c r="A9" s="40" t="str">
        <x:v>A07-G08</x:v>
      </x:c>
      <x:c r="B9" s="18" t="str">
        <x:v>A07</x:v>
      </x:c>
      <x:c r="C9" s="18" t="str">
        <x:v>Component-level rights matrix for CDLI bulk exports, transliterations, photographs and line art</x:v>
      </x:c>
      <x:c r="D9" s="18" t="str">
        <x:v>infrastructure</x:v>
      </x:c>
      <x:c r="E9" s="18" t="str">
        <x:v>Needed before ToS can mirror, train on or publicly redistribute a corpus-scale derivative.</x:v>
      </x:c>
      <x:c r="F9" s="18" t="str">
        <x:v>API formats are documented, but a blanket license covering all components was not established.</x:v>
      </x:c>
      <x:c r="G9" s="18" t="str">
        <x:v>Request or locate current CDLI terms, dataset license, image-credit policy and project-specific contributor agreements; test a representative sample.</x:v>
      </x:c>
      <x:c r="H9" s="24" t="str">
        <x:v>2026-09-03</x:v>
      </x:c>
    </x:row>
    <x:row r="10" ht="96" customHeight="1">
      <x:c r="A10" s="40" t="str">
        <x:v>A07-G09</x:v>
      </x:c>
      <x:c r="B10" s="18" t="str">
        <x:v>A07</x:v>
      </x:c>
      <x:c r="C10" s="18" t="str">
        <x:v>Final Unicode status and authoritative code-point proposal for Linear Elamite</x:v>
      </x:c>
      <x:c r="D10" s="18" t="str">
        <x:v>infrastructure</x:v>
      </x:c>
      <x:c r="E10" s="18" t="str">
        <x:v>Stable encoding would directly affect ToS ingestion, search and corpus interchange.</x:v>
      </x:c>
      <x:c r="F10" s="18" t="str">
        <x:v>GEAS uses a Unicode-oriented workflow, but final standardization status and a fully verified official Linear Elamite proposal were not resolved.</x:v>
      </x:c>
      <x:c r="G10" s="18" t="str">
        <x:v>Check latest UTC/SEI documents, pipeline status and any revised proposal after 2025; do not distribute fonts merely to solve encoding.</x:v>
      </x:c>
      <x:c r="H10" s="24" t="str">
        <x:v>2026-09-03</x:v>
      </x:c>
    </x:row>
    <x:row r="11" ht="96" customHeight="1">
      <x:c r="A11" s="40" t="str">
        <x:v>A07-G10</x:v>
      </x:c>
      <x:c r="B11" s="18" t="str">
        <x:v>A07</x:v>
      </x:c>
      <x:c r="C11" s="18" t="str">
        <x:v>Tepe Sialk complete proto-Elamite item set and publication pathway</x:v>
      </x:c>
      <x:c r="D11" s="18" t="str">
        <x:v>same_corpus_or_tradition</x:v>
      </x:c>
      <x:c r="E11" s="18" t="str">
        <x:v>Sialk is a direct regional member of the corpus and matters for the spread beyond Susa.</x:v>
      </x:c>
      <x:c r="F11" s="18" t="str">
        <x:v>Only a partial discovery route was established; complete witness-level coverage and a rights-cleared edition were not verified.</x:v>
      </x:c>
      <x:c r="G11" s="18" t="str">
        <x:v>Search CDLI by excavator/publication, Louvre/Iranian holdings, Sialk excavation volumes and Persian/French catalogue variants.</x:v>
      </x:c>
      <x:c r="H11" s="24" t="str">
        <x:v>2026-09-03</x:v>
      </x:c>
    </x:row>
    <x:row r="12" ht="96" customHeight="1">
      <x:c r="A12" s="40" t="str">
        <x:v>A07-G11</x:v>
      </x:c>
      <x:c r="B12" s="18" t="str">
        <x:v>A07</x:v>
      </x:c>
      <x:c r="C12" s="18" t="str">
        <x:v>Tepe Sofalin and additional Iranian regional clusters: item-level completeness</x:v>
      </x:c>
      <x:c r="D12" s="18" t="str">
        <x:v>same_corpus_or_tradition</x:v>
      </x:c>
      <x:c r="E12" s="18" t="str">
        <x:v>Small clusters can materially alter models of administrative transmission and local variation.</x:v>
      </x:c>
      <x:c r="F12" s="18" t="str">
        <x:v>Publication-group access exists, but no completeness audit against excavation inventories was performed.</x:v>
      </x:c>
      <x:c r="G12" s="18" t="str">
        <x:v>Compare CDLI publication groups with excavation reports and museum inventories; record missing photos/transliterations separately.</x:v>
      </x:c>
      <x:c r="H12" s="24" t="str">
        <x:v>2026-09-03</x:v>
      </x:c>
    </x:row>
    <x:row r="13" ht="96" customHeight="1">
      <x:c r="A13" s="41" t="str">
        <x:v>A07-G12</x:v>
      </x:c>
      <x:c r="B13" s="28" t="str">
        <x:v>A07</x:v>
      </x:c>
      <x:c r="C13" s="28" t="str">
        <x:v>Puzur-Inshushinak bilingual dossier: complete monument-to-text concordance</x:v>
      </x:c>
      <x:c r="D13" s="28" t="str">
        <x:v>transmission_or_preservation</x:v>
      </x:c>
      <x:c r="E13" s="28" t="str">
        <x:v>A clean concordance is essential for evaluating Linear Elamite decipherment and avoiding object/inscription conflation.</x:v>
      </x:c>
      <x:c r="F13" s="28" t="str">
        <x:v>Several Louvre witnesses were verified, but a complete crosswalk among SB, LEI, CDLI and 2026 OrientLab numbering was not built.</x:v>
      </x:c>
      <x:c r="G13" s="28" t="str">
        <x:v>Extract concordance from OrientLab Series Maior 10, Louvre JSON and Hatamti; verify each item and image-credit scope.</x:v>
      </x:c>
      <x:c r="H13" s="29" t="str">
        <x:v>2026-09-03</x:v>
      </x:c>
    </x:row>
  </x:sheetData>
  <x:pageMargins left="0.7" right="0.7" top="0.75" bottom="0.75" header="0.3" footer="0.3"/>
  <x:tableParts count="1">
    <x:tablePart xmlns:r="http://schemas.openxmlformats.org/officeDocument/2006/relationships" r:id="Rfd792af4f23647ba"/>
  </x:tableParts>
</x:worksheet>
</file>